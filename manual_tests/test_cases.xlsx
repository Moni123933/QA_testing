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25" customWidth="1" min="4" max="4"/>
    <col width="45" customWidth="1" min="5" max="5"/>
    <col width="25" customWidth="1" min="6" max="6"/>
    <col width="45" customWidth="1" min="7" max="7"/>
    <col width="2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Screenshot</t>
        </is>
      </c>
    </row>
    <row r="2">
      <c r="A2" s="2" t="inlineStr">
        <is>
          <t>TC_SU_001</t>
        </is>
      </c>
      <c r="B2" s="3" t="inlineStr">
        <is>
          <t>Sign Up</t>
        </is>
      </c>
      <c r="C2" s="4" t="inlineStr">
        <is>
          <t>Successful registration with valid details (Positive Flow)</t>
        </is>
      </c>
      <c r="D2" s="4" t="inlineStr">
        <is>
          <t>1. User is on the Sign Up page.
2. User has no active session.</t>
        </is>
      </c>
      <c r="E2" s="4" t="inlineStr">
        <is>
          <t>1. Enter a valid full name.
2. Enter a unique, unregistered email.
3. Enter a strong password.
4. Re-enter matching password in Confirm Password field.
5. Click the "Sign Up" button.</t>
        </is>
      </c>
      <c r="F2" s="4" t="inlineStr">
        <is>
          <t>Name: John Doe
Email: john.doe@example.com
Password: P@ssword123!
Confirm Password: P@ssword123!</t>
        </is>
      </c>
      <c r="G2" s="4" t="inlineStr">
        <is>
          <t>User account is created successfully. User is automatically logged in and redirected to the Dashboard/Home page. A success toast or message is displayed.</t>
        </is>
      </c>
      <c r="H2" s="5">
        <f>HYPERLINK("screenshots/TC_SU_001.png", "View Screenshot")</f>
        <v/>
      </c>
    </row>
    <row r="3">
      <c r="A3" s="2" t="inlineStr">
        <is>
          <t>TC_SU_002</t>
        </is>
      </c>
      <c r="B3" s="3" t="inlineStr">
        <is>
          <t>Sign Up</t>
        </is>
      </c>
      <c r="C3" s="4" t="inlineStr">
        <is>
          <t>Registration with all fields empty (Negative Flow)</t>
        </is>
      </c>
      <c r="D3" s="4" t="inlineStr">
        <is>
          <t>User is on the Sign Up page.</t>
        </is>
      </c>
      <c r="E3" s="4" t="inlineStr">
        <is>
          <t>1. Leave all fields (Name, Email, Password, Confirm Password) blank.
2. Click the "Sign Up" button.</t>
        </is>
      </c>
      <c r="F3" s="4" t="inlineStr">
        <is>
          <t>None</t>
        </is>
      </c>
      <c r="G3" s="4" t="inlineStr">
        <is>
          <t>Registration is blocked. Under each required field, the system displays a clear validation error (e.g., "Name is required", "Email is required", etc.).</t>
        </is>
      </c>
      <c r="H3" s="5">
        <f>HYPERLINK("screenshots/TC_SU_002.png", "View Screenshot")</f>
        <v/>
      </c>
    </row>
    <row r="4">
      <c r="A4" s="2" t="inlineStr">
        <is>
          <t>TC_SU_003</t>
        </is>
      </c>
      <c r="B4" s="3" t="inlineStr">
        <is>
          <t>Sign Up</t>
        </is>
      </c>
      <c r="C4" s="4" t="inlineStr">
        <is>
          <t>Registration with invalid email missing '@' symbol (Negative Flow)</t>
        </is>
      </c>
      <c r="D4" s="4" t="inlineStr">
        <is>
          <t>User is on the Sign Up page.</t>
        </is>
      </c>
      <c r="E4" s="4" t="inlineStr">
        <is>
          <t>1. Enter a valid name.
2. Enter an email missing '@'.
3. Enter valid password and confirm password.
4. Click "Sign Up".</t>
        </is>
      </c>
      <c r="F4" s="4" t="inlineStr">
        <is>
          <t>Name: Jane Doe, Email: testuser, Password: P@ssword123!</t>
        </is>
      </c>
      <c r="G4" s="4" t="inlineStr">
        <is>
          <t>Registration is blocked. Email field highlights in red and displays "Please enter a valid email address".</t>
        </is>
      </c>
      <c r="H4" s="5">
        <f>HYPERLINK("screenshots/TC_SU_003.png", "View Screenshot")</f>
        <v/>
      </c>
    </row>
    <row r="5">
      <c r="A5" s="2" t="inlineStr">
        <is>
          <t>TC_SU_004</t>
        </is>
      </c>
      <c r="B5" s="3" t="inlineStr">
        <is>
          <t>Sign Up</t>
        </is>
      </c>
      <c r="C5" s="4" t="inlineStr">
        <is>
          <t>Registration with invalid email missing domain name (Negative Flow)</t>
        </is>
      </c>
      <c r="D5" s="4" t="inlineStr">
        <is>
          <t>User is on the Sign Up page.</t>
        </is>
      </c>
      <c r="E5" s="4" t="inlineStr">
        <is>
          <t>1. Enter valid name.
2. Enter email missing domain.
3. Enter valid passwords.
4. Click "Sign Up".</t>
        </is>
      </c>
      <c r="F5" s="4" t="inlineStr">
        <is>
          <t>Email: testuser@, Password: P@ssword123!</t>
        </is>
      </c>
      <c r="G5" s="4" t="inlineStr">
        <is>
          <t>Registration is blocked. Validation message "Please enter a valid email address" is shown.</t>
        </is>
      </c>
      <c r="H5" s="5">
        <f>HYPERLINK("screenshots/TC_SU_004.png", "View Screenshot")</f>
        <v/>
      </c>
    </row>
    <row r="6">
      <c r="A6" s="2" t="inlineStr">
        <is>
          <t>TC_SU_005</t>
        </is>
      </c>
      <c r="B6" s="3" t="inlineStr">
        <is>
          <t>Sign Up</t>
        </is>
      </c>
      <c r="C6" s="4" t="inlineStr">
        <is>
          <t>Registration with invalid email missing local part (Negative Flow)</t>
        </is>
      </c>
      <c r="D6" s="4" t="inlineStr">
        <is>
          <t>User is on the Sign Up page.</t>
        </is>
      </c>
      <c r="E6" s="4" t="inlineStr">
        <is>
          <t>1. Enter valid name.
2. Enter email missing local part.
3. Enter valid passwords.
4. Click "Sign Up".</t>
        </is>
      </c>
      <c r="F6" s="4" t="inlineStr">
        <is>
          <t>Email: @example.com, Password: P@ssword123!</t>
        </is>
      </c>
      <c r="G6" s="4" t="inlineStr">
        <is>
          <t>Registration is blocked. Validation message "Please enter a valid email address" is shown.</t>
        </is>
      </c>
      <c r="H6" s="5">
        <f>HYPERLINK("screenshots/TC_SU_005.png", "View Screenshot")</f>
        <v/>
      </c>
    </row>
    <row r="7">
      <c r="A7" s="2" t="inlineStr">
        <is>
          <t>TC_SU_006</t>
        </is>
      </c>
      <c r="B7" s="3" t="inlineStr">
        <is>
          <t>Sign Up</t>
        </is>
      </c>
      <c r="C7" s="4" t="inlineStr">
        <is>
          <t>Registration with mismatched passwords (Negative Flow)</t>
        </is>
      </c>
      <c r="D7" s="4" t="inlineStr">
        <is>
          <t>User is on the Sign Up page.</t>
        </is>
      </c>
      <c r="E7" s="4" t="inlineStr">
        <is>
          <t>1. Enter a valid name and email.
2. Enter password.
3. Enter mismatched password in Confirm Password field.
4. Click "Sign Up".</t>
        </is>
      </c>
      <c r="F7" s="4" t="inlineStr">
        <is>
          <t>Password: P@ssword123!, Confirm Password: Password@321</t>
        </is>
      </c>
      <c r="G7" s="4" t="inlineStr">
        <is>
          <t>Registration is blocked. Confirm Password field displays validation error: "Passwords do not match".</t>
        </is>
      </c>
      <c r="H7" s="5">
        <f>HYPERLINK("screenshots/TC_SU_006.png", "View Screenshot")</f>
        <v/>
      </c>
    </row>
    <row r="8">
      <c r="A8" s="2" t="inlineStr">
        <is>
          <t>TC_SU_007</t>
        </is>
      </c>
      <c r="B8" s="3" t="inlineStr">
        <is>
          <t>Sign Up</t>
        </is>
      </c>
      <c r="C8" s="4" t="inlineStr">
        <is>
          <t>Registration with weak password under 8 characters (Negative Flow)</t>
        </is>
      </c>
      <c r="D8" s="4" t="inlineStr">
        <is>
          <t>User is on the Sign Up page.</t>
        </is>
      </c>
      <c r="E8" s="4" t="inlineStr">
        <is>
          <t>1. Enter valid name and email.
2. Enter a short password (e.g. 7 chars).
3. Enter matching confirm password.
4. Click "Sign Up".</t>
        </is>
      </c>
      <c r="F8" s="4" t="inlineStr">
        <is>
          <t>Password: Pass12!, Confirm Password: Pass12!</t>
        </is>
      </c>
      <c r="G8" s="4" t="inlineStr">
        <is>
          <t>Registration is blocked. Password field displays validation error: "Password must be at least 8 characters long".</t>
        </is>
      </c>
      <c r="H8" s="5">
        <f>HYPERLINK("screenshots/TC_SU_007.png", "View Screenshot")</f>
        <v/>
      </c>
    </row>
    <row r="9">
      <c r="A9" s="2" t="inlineStr">
        <is>
          <t>TC_SU_008</t>
        </is>
      </c>
      <c r="B9" s="3" t="inlineStr">
        <is>
          <t>Sign Up</t>
        </is>
      </c>
      <c r="C9" s="4" t="inlineStr">
        <is>
          <t>Registration with password missing uppercase letter (Negative Flow)</t>
        </is>
      </c>
      <c r="D9" s="4" t="inlineStr">
        <is>
          <t>User is on the Sign Up page.</t>
        </is>
      </c>
      <c r="E9" s="4" t="inlineStr">
        <is>
          <t>1. Enter valid name and email.
2. Enter password with no uppercase letters.
3. Click "Sign Up".</t>
        </is>
      </c>
      <c r="F9" s="4" t="inlineStr">
        <is>
          <t>Password: password123!, Confirm: password123!</t>
        </is>
      </c>
      <c r="G9" s="4" t="inlineStr">
        <is>
          <t>Registration is blocked. Error: "Password must contain at least one uppercase letter".</t>
        </is>
      </c>
      <c r="H9" s="5">
        <f>HYPERLINK("screenshots/TC_SU_008.png", "View Screenshot")</f>
        <v/>
      </c>
    </row>
    <row r="10">
      <c r="A10" s="2" t="inlineStr">
        <is>
          <t>TC_SU_009</t>
        </is>
      </c>
      <c r="B10" s="3" t="inlineStr">
        <is>
          <t>Sign Up</t>
        </is>
      </c>
      <c r="C10" s="4" t="inlineStr">
        <is>
          <t>Registration with password missing numeric digit (Negative Flow)</t>
        </is>
      </c>
      <c r="D10" s="4" t="inlineStr">
        <is>
          <t>User is on the Sign Up page.</t>
        </is>
      </c>
      <c r="E10" s="4" t="inlineStr">
        <is>
          <t>1. Enter valid name and email.
2. Enter password with no digits.
3. Click "Sign Up".</t>
        </is>
      </c>
      <c r="F10" s="4" t="inlineStr">
        <is>
          <t>Password: Password!, Confirm: Password!</t>
        </is>
      </c>
      <c r="G10" s="4" t="inlineStr">
        <is>
          <t>Registration is blocked. Error: "Password must contain at least one number".</t>
        </is>
      </c>
      <c r="H10" s="5">
        <f>HYPERLINK("screenshots/TC_SU_009.png", "View Screenshot")</f>
        <v/>
      </c>
    </row>
    <row r="11">
      <c r="A11" s="2" t="inlineStr">
        <is>
          <t>TC_SU_010</t>
        </is>
      </c>
      <c r="B11" s="3" t="inlineStr">
        <is>
          <t>Sign Up</t>
        </is>
      </c>
      <c r="C11" s="4" t="inlineStr">
        <is>
          <t>Registration with password missing special character (Negative Flow)</t>
        </is>
      </c>
      <c r="D11" s="4" t="inlineStr">
        <is>
          <t>User is on the Sign Up page.</t>
        </is>
      </c>
      <c r="E11" s="4" t="inlineStr">
        <is>
          <t>1. Enter valid name and email.
2. Enter password with no special characters.
3. Click "Sign Up".</t>
        </is>
      </c>
      <c r="F11" s="4" t="inlineStr">
        <is>
          <t>Password: Password123, Confirm: Password123</t>
        </is>
      </c>
      <c r="G11" s="4" t="inlineStr">
        <is>
          <t>Registration is blocked. Error: "Password must contain at least one special character".</t>
        </is>
      </c>
      <c r="H11" s="5">
        <f>HYPERLINK("screenshots/TC_SU_010.png", "View Screenshot")</f>
        <v/>
      </c>
    </row>
    <row r="12">
      <c r="A12" s="2" t="inlineStr">
        <is>
          <t>TC_SU_011</t>
        </is>
      </c>
      <c r="B12" s="3" t="inlineStr">
        <is>
          <t>Sign Up</t>
        </is>
      </c>
      <c r="C12" s="4" t="inlineStr">
        <is>
          <t>Registration with already registered email (Negative Flow)</t>
        </is>
      </c>
      <c r="D12" s="4" t="inlineStr">
        <is>
          <t>User is on the Sign Up page. Email exists in the system.</t>
        </is>
      </c>
      <c r="E12" s="4" t="inlineStr">
        <is>
          <t>1. Enter valid name.
2. Enter a registered email.
3. Enter valid passwords.
4. Click "Sign Up".</t>
        </is>
      </c>
      <c r="F12" s="4" t="inlineStr">
        <is>
          <t>Email: registered_user@example.com</t>
        </is>
      </c>
      <c r="G12" s="4" t="inlineStr">
        <is>
          <t>Registration is blocked. Display message: "Email is already registered. Please login or reset your password".</t>
        </is>
      </c>
      <c r="H12" s="5">
        <f>HYPERLINK("screenshots/TC_SU_011.png", "View Screenshot")</f>
        <v/>
      </c>
    </row>
    <row r="13">
      <c r="A13" s="2" t="inlineStr">
        <is>
          <t>TC_SU_012</t>
        </is>
      </c>
      <c r="B13" s="3" t="inlineStr">
        <is>
          <t>Sign Up</t>
        </is>
      </c>
      <c r="C13" s="4" t="inlineStr">
        <is>
          <t>Registration name with leading and trailing spaces (Boundary/Edge Case)</t>
        </is>
      </c>
      <c r="D13" s="4" t="inlineStr">
        <is>
          <t>User is on the Sign Up page.</t>
        </is>
      </c>
      <c r="E13" s="4" t="inlineStr">
        <is>
          <t>1. Enter name with leading/trailing spaces.
2. Enter valid email and passwords.
3. Click "Sign Up".</t>
        </is>
      </c>
      <c r="F13" s="4" t="inlineStr">
        <is>
          <t>Name: "   Bob Vance   ", Email: bob@example.com</t>
        </is>
      </c>
      <c r="G13" s="4" t="inlineStr">
        <is>
          <t>Registration succeeds. System automatically trims the whitespaces, saving the user profile as "Bob Vance".</t>
        </is>
      </c>
      <c r="H13" s="5">
        <f>HYPERLINK("screenshots/TC_SU_012.png", "View Screenshot")</f>
        <v/>
      </c>
    </row>
    <row r="14">
      <c r="A14" s="2" t="inlineStr">
        <is>
          <t>TC_SU_013</t>
        </is>
      </c>
      <c r="B14" s="3" t="inlineStr">
        <is>
          <t>Sign Up</t>
        </is>
      </c>
      <c r="C14" s="4" t="inlineStr">
        <is>
          <t>Registration email with leading and trailing spaces (Boundary/Edge Case)</t>
        </is>
      </c>
      <c r="D14" s="4" t="inlineStr">
        <is>
          <t>User is on the Sign Up page.</t>
        </is>
      </c>
      <c r="E14" s="4" t="inlineStr">
        <is>
          <t>1. Enter name.
2. Enter email with leading/trailing spaces.
3. Enter valid passwords.
4. Click "Sign Up".</t>
        </is>
      </c>
      <c r="F14" s="4" t="inlineStr">
        <is>
          <t>Email: "   bob@example.com   "</t>
        </is>
      </c>
      <c r="G14" s="4" t="inlineStr">
        <is>
          <t>Registration succeeds. System trims spaces, registering and logging the user under "bob@example.com".</t>
        </is>
      </c>
      <c r="H14" s="5">
        <f>HYPERLINK("screenshots/TC_SU_013.png", "View Screenshot")</f>
        <v/>
      </c>
    </row>
    <row r="15">
      <c r="A15" s="2" t="inlineStr">
        <is>
          <t>TC_SU_014</t>
        </is>
      </c>
      <c r="B15" s="3" t="inlineStr">
        <is>
          <t>Sign Up</t>
        </is>
      </c>
      <c r="C15" s="4" t="inlineStr">
        <is>
          <t>Full Name containing common special characters (Boundary/Edge Case)</t>
        </is>
      </c>
      <c r="D15" s="4" t="inlineStr">
        <is>
          <t>User is on the Sign Up page.</t>
        </is>
      </c>
      <c r="E15" s="4" t="inlineStr">
        <is>
          <t>1. Enter name with apostrophe and hyphen.
2. Enter valid email and passwords.
3. Click "Sign Up".</t>
        </is>
      </c>
      <c r="F15" s="4" t="inlineStr">
        <is>
          <t>Name: François O'Connor-Smith Jr.</t>
        </is>
      </c>
      <c r="G15" s="4" t="inlineStr">
        <is>
          <t>Registration succeeds. The system accepts valid special characters in the name field.</t>
        </is>
      </c>
      <c r="H15" s="5">
        <f>HYPERLINK("screenshots/TC_SU_014.png", "View Screenshot")</f>
        <v/>
      </c>
    </row>
    <row r="16">
      <c r="A16" s="2" t="inlineStr">
        <is>
          <t>TC_SU_015</t>
        </is>
      </c>
      <c r="B16" s="3" t="inlineStr">
        <is>
          <t>Sign Up</t>
        </is>
      </c>
      <c r="C16" s="4" t="inlineStr">
        <is>
          <t>Full Name containing numeric characters (Negative Flow)</t>
        </is>
      </c>
      <c r="D16" s="4" t="inlineStr">
        <is>
          <t>User is on the Sign Up page.</t>
        </is>
      </c>
      <c r="E16" s="4" t="inlineStr">
        <is>
          <t>1. Enter name containing numbers.
2. Enter valid email and passwords.
3. Click "Sign Up".</t>
        </is>
      </c>
      <c r="F16" s="4" t="inlineStr">
        <is>
          <t>Name: John123 Doe</t>
        </is>
      </c>
      <c r="G16" s="4" t="inlineStr">
        <is>
          <t>Registration fails or displays validation alert: "Name should not contain numbers".</t>
        </is>
      </c>
      <c r="H16" s="5">
        <f>HYPERLINK("screenshots/TC_SU_015.png", "View Screenshot")</f>
        <v/>
      </c>
    </row>
    <row r="17">
      <c r="A17" s="2" t="inlineStr">
        <is>
          <t>TC_SU_016</t>
        </is>
      </c>
      <c r="B17" s="3" t="inlineStr">
        <is>
          <t>Sign Up</t>
        </is>
      </c>
      <c r="C17" s="4" t="inlineStr">
        <is>
          <t>Full Name field exceeding maximum limit of 255 characters (Boundary Case)</t>
        </is>
      </c>
      <c r="D17" s="4" t="inlineStr">
        <is>
          <t>User is on the Sign Up page.</t>
        </is>
      </c>
      <c r="E17" s="4" t="inlineStr">
        <is>
          <t>1. Enter name of 256 characters.
2. Enter valid email and passwords.
3. Click "Sign Up".</t>
        </is>
      </c>
      <c r="F17" s="4" t="inlineStr">
        <is>
          <t>Name: String of 256 'A's</t>
        </is>
      </c>
      <c r="G17" s="4" t="inlineStr">
        <is>
          <t>System restricts input character length at the UI level (maxlength) or displays a validation length error.</t>
        </is>
      </c>
      <c r="H17" s="5">
        <f>HYPERLINK("screenshots/TC_SU_016.png", "View Screenshot")</f>
        <v/>
      </c>
    </row>
    <row r="18">
      <c r="A18" s="2" t="inlineStr">
        <is>
          <t>TC_SU_017</t>
        </is>
      </c>
      <c r="B18" s="3" t="inlineStr">
        <is>
          <t>Sign Up</t>
        </is>
      </c>
      <c r="C18" s="4" t="inlineStr">
        <is>
          <t>Email field exceeding maximum limit of 254 characters (Boundary Case)</t>
        </is>
      </c>
      <c r="D18" s="4" t="inlineStr">
        <is>
          <t>User is on the Sign Up page.</t>
        </is>
      </c>
      <c r="E18" s="4" t="inlineStr">
        <is>
          <t>1. Enter email of 255 characters.
2. Enter valid passwords.
3. Click "Sign Up".</t>
        </is>
      </c>
      <c r="F18" s="4" t="inlineStr">
        <is>
          <t>Email: 243 'A's + "@example.com"</t>
        </is>
      </c>
      <c r="G18" s="4" t="inlineStr">
        <is>
          <t>System restricts length at input level or displays validation error: "Email cannot exceed 254 characters".</t>
        </is>
      </c>
      <c r="H18" s="5">
        <f>HYPERLINK("screenshots/TC_SU_017.png", "View Screenshot")</f>
        <v/>
      </c>
    </row>
    <row r="19">
      <c r="A19" s="2" t="inlineStr">
        <is>
          <t>TC_SU_018</t>
        </is>
      </c>
      <c r="B19" s="3" t="inlineStr">
        <is>
          <t>Sign Up</t>
        </is>
      </c>
      <c r="C19" s="4" t="inlineStr">
        <is>
          <t>Password field exceeding maximum limit of 128 characters (Boundary Case)</t>
        </is>
      </c>
      <c r="D19" s="4" t="inlineStr">
        <is>
          <t>User is on the Sign Up page.</t>
        </is>
      </c>
      <c r="E19" s="4" t="inlineStr">
        <is>
          <t>1. Enter name and email.
2. Enter password of 129 characters.
3. Click "Sign Up".</t>
        </is>
      </c>
      <c r="F19" s="4" t="inlineStr">
        <is>
          <t>Password: 129 characters</t>
        </is>
      </c>
      <c r="G19" s="4" t="inlineStr">
        <is>
          <t>System restricts input length at the UI level or displays validation error without crashing.</t>
        </is>
      </c>
      <c r="H19" s="5">
        <f>HYPERLINK("screenshots/TC_SU_018.png", "View Screenshot")</f>
        <v/>
      </c>
    </row>
    <row r="20">
      <c r="A20" s="2" t="inlineStr">
        <is>
          <t>TC_SU_019</t>
        </is>
      </c>
      <c r="B20" s="3" t="inlineStr">
        <is>
          <t>Sign Up</t>
        </is>
      </c>
      <c r="C20" s="4" t="inlineStr">
        <is>
          <t>SQL Injection payload in Name field (Security Test)</t>
        </is>
      </c>
      <c r="D20" s="4" t="inlineStr">
        <is>
          <t>User is on the Sign Up page.</t>
        </is>
      </c>
      <c r="E20" s="4" t="inlineStr">
        <is>
          <t>1. Enter SQL injection payload in Name field.
2. Enter valid email and passwords.
3. Click "Sign Up".</t>
        </is>
      </c>
      <c r="F20" s="4" t="inlineStr">
        <is>
          <t>Name: "' OR 1=1 --"</t>
        </is>
      </c>
      <c r="G20" s="4" t="inlineStr">
        <is>
          <t>System sanitizes the input, either registering the user with the literal string as the name or rejecting it gracefully. No database error occurs.</t>
        </is>
      </c>
      <c r="H20" s="5">
        <f>HYPERLINK("screenshots/TC_SU_019.png", "View Screenshot")</f>
        <v/>
      </c>
    </row>
    <row r="21">
      <c r="A21" s="2" t="inlineStr">
        <is>
          <t>TC_SU_020</t>
        </is>
      </c>
      <c r="B21" s="3" t="inlineStr">
        <is>
          <t>Sign Up</t>
        </is>
      </c>
      <c r="C21" s="4" t="inlineStr">
        <is>
          <t>SQL Injection payload in Email field (Security Test)</t>
        </is>
      </c>
      <c r="D21" s="4" t="inlineStr">
        <is>
          <t>User is on the Sign Up page.</t>
        </is>
      </c>
      <c r="E21" s="4" t="inlineStr">
        <is>
          <t>1. Enter valid name.
2. Enter SQL injection payload in Email field.
3. Enter valid passwords.
4. Click "Sign Up".</t>
        </is>
      </c>
      <c r="F21" s="4" t="inlineStr">
        <is>
          <t>Email: "' OR '1'='1 --@example.com"</t>
        </is>
      </c>
      <c r="G21" s="4" t="inlineStr">
        <is>
          <t>System blocks submission due to invalid email structure, or sanitizes the input prior to database execution.</t>
        </is>
      </c>
      <c r="H21" s="5">
        <f>HYPERLINK("screenshots/TC_SU_020.png", "View Screenshot")</f>
        <v/>
      </c>
    </row>
    <row r="22">
      <c r="A22" s="2" t="inlineStr">
        <is>
          <t>TC_SU_021</t>
        </is>
      </c>
      <c r="B22" s="3" t="inlineStr">
        <is>
          <t>Sign Up</t>
        </is>
      </c>
      <c r="C22" s="4" t="inlineStr">
        <is>
          <t>XSS script payload in Name field (Security Test)</t>
        </is>
      </c>
      <c r="D22" s="4" t="inlineStr">
        <is>
          <t>User is on the Sign Up page.</t>
        </is>
      </c>
      <c r="E22" s="4" t="inlineStr">
        <is>
          <t>1. Enter XSS HTML payload in Name field.
2. Enter valid email and passwords.
3. Click "Sign Up".</t>
        </is>
      </c>
      <c r="F22" s="4" t="inlineStr">
        <is>
          <t>Name: "&lt;script&gt;alert('XSS')&lt;/script&gt;"</t>
        </is>
      </c>
      <c r="G22" s="4" t="inlineStr">
        <is>
          <t>System encodes/escapes HTML tags. User registers successfully, and the literal script string is rendered as plain text without executing.</t>
        </is>
      </c>
      <c r="H22" s="5">
        <f>HYPERLINK("screenshots/TC_SU_021.png", "View Screenshot")</f>
        <v/>
      </c>
    </row>
    <row r="23">
      <c r="A23" s="2" t="inlineStr">
        <is>
          <t>TC_SU_022</t>
        </is>
      </c>
      <c r="B23" s="3" t="inlineStr">
        <is>
          <t>Sign Up</t>
        </is>
      </c>
      <c r="C23" s="4" t="inlineStr">
        <is>
          <t>XSS script payload in Email field (Security Test)</t>
        </is>
      </c>
      <c r="D23" s="4" t="inlineStr">
        <is>
          <t>User is on the Sign Up page.</t>
        </is>
      </c>
      <c r="E23" s="4" t="inlineStr">
        <is>
          <t>1. Enter valid name.
2. Enter XSS HTML payload in Email field.
3. Click "Sign Up".</t>
        </is>
      </c>
      <c r="F23" s="4" t="inlineStr">
        <is>
          <t>Email: "&lt;script&gt;@example.com"</t>
        </is>
      </c>
      <c r="G23" s="4" t="inlineStr">
        <is>
          <t>System rejects the email format at the frontend validation layer. HTML script does not execute.</t>
        </is>
      </c>
      <c r="H23" s="5">
        <f>HYPERLINK("screenshots/TC_SU_022.png", "View Screenshot")</f>
        <v/>
      </c>
    </row>
    <row r="24">
      <c r="A24" s="2" t="inlineStr">
        <is>
          <t>TC_SU_023</t>
        </is>
      </c>
      <c r="B24" s="3" t="inlineStr">
        <is>
          <t>Sign Up</t>
        </is>
      </c>
      <c r="C24" s="4" t="inlineStr">
        <is>
          <t>Registration without accepting Terms and Conditions (Negative Flow)</t>
        </is>
      </c>
      <c r="D24" s="4" t="inlineStr">
        <is>
          <t>User is on the Sign Up page. Terms checkbox is unchecked.</t>
        </is>
      </c>
      <c r="E24" s="4" t="inlineStr">
        <is>
          <t>1. Enter all valid user information.
2. Leave "I agree to Terms &amp; Conditions" unchecked.
3. Click "Sign Up".</t>
        </is>
      </c>
      <c r="F24" s="4" t="inlineStr">
        <is>
          <t>Valid details, Checkbox: Unchecked</t>
        </is>
      </c>
      <c r="G24" s="4" t="inlineStr">
        <is>
          <t>Registration is blocked. Error message appears: "You must accept the Terms and Conditions to register".</t>
        </is>
      </c>
      <c r="H24" s="5">
        <f>HYPERLINK("screenshots/TC_SU_023.png", "View Screenshot")</f>
        <v/>
      </c>
    </row>
    <row r="25">
      <c r="A25" s="2" t="inlineStr">
        <is>
          <t>TC_SU_024</t>
        </is>
      </c>
      <c r="B25" s="3" t="inlineStr">
        <is>
          <t>Sign Up</t>
        </is>
      </c>
      <c r="C25" s="4" t="inlineStr">
        <is>
          <t>Navigation validation of Terms and Conditions link (UI Navigation)</t>
        </is>
      </c>
      <c r="D25" s="4" t="inlineStr">
        <is>
          <t>User is on the Sign Up page.</t>
        </is>
      </c>
      <c r="E25" s="4" t="inlineStr">
        <is>
          <t>1. Click the "Terms &amp; Conditions" hyperlink text.</t>
        </is>
      </c>
      <c r="F25" s="4" t="inlineStr">
        <is>
          <t>Click Link</t>
        </is>
      </c>
      <c r="G25" s="4" t="inlineStr">
        <is>
          <t>System opens the Terms page in a new browser tab or modal window. Sign up inputs are preserved in the original tab.</t>
        </is>
      </c>
      <c r="H25" s="5">
        <f>HYPERLINK("screenshots/TC_SU_024.png", "View Screenshot")</f>
        <v/>
      </c>
    </row>
    <row r="26">
      <c r="A26" s="2" t="inlineStr">
        <is>
          <t>TC_SU_025</t>
        </is>
      </c>
      <c r="B26" s="3" t="inlineStr">
        <is>
          <t>Sign Up</t>
        </is>
      </c>
      <c r="C26" s="4" t="inlineStr">
        <is>
          <t>Navigation validation of Privacy Policy link (UI Navigation)</t>
        </is>
      </c>
      <c r="D26" s="4" t="inlineStr">
        <is>
          <t>User is on the Sign Up page.</t>
        </is>
      </c>
      <c r="E26" s="4" t="inlineStr">
        <is>
          <t>1. Click the "Privacy Policy" hyperlink text.</t>
        </is>
      </c>
      <c r="F26" s="4" t="inlineStr">
        <is>
          <t>Click Link</t>
        </is>
      </c>
      <c r="G26" s="4" t="inlineStr">
        <is>
          <t>System opens the Privacy Policy page in a new browser tab or modal window. Sign up inputs are preserved.</t>
        </is>
      </c>
      <c r="H26" s="5">
        <f>HYPERLINK("screenshots/TC_SU_025.png", "View Screenshot")</f>
        <v/>
      </c>
    </row>
    <row r="27">
      <c r="A27" s="2" t="inlineStr">
        <is>
          <t>TC_SU_026</t>
        </is>
      </c>
      <c r="B27" s="3" t="inlineStr">
        <is>
          <t>Sign Up</t>
        </is>
      </c>
      <c r="C27" s="4" t="inlineStr">
        <is>
          <t>Double click validation on Sign Up submit button (Performance/UX)</t>
        </is>
      </c>
      <c r="D27" s="4" t="inlineStr">
        <is>
          <t>User is on the Sign Up page.</t>
        </is>
      </c>
      <c r="E27" s="4" t="inlineStr">
        <is>
          <t>1. Enter all valid details.
2. Double click the "Sign Up" button rapidly.</t>
        </is>
      </c>
      <c r="F27" s="4" t="inlineStr">
        <is>
          <t>Rapid double click</t>
        </is>
      </c>
      <c r="G27" s="4" t="inlineStr">
        <is>
          <t>System disables the Sign Up button immediately upon the first click, ensuring only one registration API request is triggered.</t>
        </is>
      </c>
      <c r="H27" s="5">
        <f>HYPERLINK("screenshots/TC_SU_026.png", "View Screenshot")</f>
        <v/>
      </c>
    </row>
    <row r="28">
      <c r="A28" s="2" t="inlineStr">
        <is>
          <t>TC_SU_027</t>
        </is>
      </c>
      <c r="B28" s="3" t="inlineStr">
        <is>
          <t>Sign Up</t>
        </is>
      </c>
      <c r="C28" s="4" t="inlineStr">
        <is>
          <t>Copy-Paste restriction on Password fields (Security/UX)</t>
        </is>
      </c>
      <c r="D28" s="4" t="inlineStr">
        <is>
          <t>User is on the Sign Up page.</t>
        </is>
      </c>
      <c r="E28" s="4" t="inlineStr">
        <is>
          <t>1. Type password in Password field.
2. Copy the password and try to paste it into the Confirm Password field.</t>
        </is>
      </c>
      <c r="F28" s="4" t="inlineStr">
        <is>
          <t>Action: Copy &amp; Paste</t>
        </is>
      </c>
      <c r="G28" s="4" t="inlineStr">
        <is>
          <t>Paste action is blocked in the Confirm Password field. User is forced to type the password manually to verify accuracy.</t>
        </is>
      </c>
      <c r="H28" s="5">
        <f>HYPERLINK("screenshots/TC_SU_027.png", "View Screenshot")</f>
        <v/>
      </c>
    </row>
    <row r="29">
      <c r="A29" s="2" t="inlineStr">
        <is>
          <t>TC_SU_028</t>
        </is>
      </c>
      <c r="B29" s="3" t="inlineStr">
        <is>
          <t>Sign Up</t>
        </is>
      </c>
      <c r="C29" s="4" t="inlineStr">
        <is>
          <t>Password containing space characters validation (Boundary/Edge Case)</t>
        </is>
      </c>
      <c r="D29" s="4" t="inlineStr">
        <is>
          <t>User is on the Sign Up page.</t>
        </is>
      </c>
      <c r="E29" s="4" t="inlineStr">
        <is>
          <t>1. Enter valid name and email.
2. Enter password containing internal space characters.
3. Click "Sign Up".</t>
        </is>
      </c>
      <c r="F29" s="4" t="inlineStr">
        <is>
          <t>Password: "Pass word 123!"</t>
        </is>
      </c>
      <c r="G29" s="4" t="inlineStr">
        <is>
          <t>Registration succeeds. Spaces inside the password string are preserved and validated as characters.</t>
        </is>
      </c>
      <c r="H29" s="5">
        <f>HYPERLINK("screenshots/TC_SU_028.png", "View Screenshot")</f>
        <v/>
      </c>
    </row>
    <row r="30">
      <c r="A30" s="2" t="inlineStr">
        <is>
          <t>TC_SU_029</t>
        </is>
      </c>
      <c r="B30" s="3" t="inlineStr">
        <is>
          <t>Sign Up</t>
        </is>
      </c>
      <c r="C30" s="4" t="inlineStr">
        <is>
          <t>Password matching Username/Email prevention (Security Test)</t>
        </is>
      </c>
      <c r="D30" s="4" t="inlineStr">
        <is>
          <t>User is on the Sign Up page.</t>
        </is>
      </c>
      <c r="E30" s="4" t="inlineStr">
        <is>
          <t>1. Enter email "john.doe@example.com".
2. Enter password as "john.doe@example.com" or "John Doe".
3. Click "Sign Up".</t>
        </is>
      </c>
      <c r="F30" s="4" t="inlineStr">
        <is>
          <t>Name: John Doe, Email: john.doe@example.com, Password: John Doe</t>
        </is>
      </c>
      <c r="G30" s="4" t="inlineStr">
        <is>
          <t>Registration is blocked. System displays a security warning: "Password cannot be the same as your name or email address".</t>
        </is>
      </c>
      <c r="H30" s="5">
        <f>HYPERLINK("screenshots/TC_SU_029.png", "View Screenshot")</f>
        <v/>
      </c>
    </row>
    <row r="31">
      <c r="A31" s="2" t="inlineStr">
        <is>
          <t>TC_SU_030</t>
        </is>
      </c>
      <c r="B31" s="3" t="inlineStr">
        <is>
          <t>Sign Up</t>
        </is>
      </c>
      <c r="C31" s="4" t="inlineStr">
        <is>
          <t>Full Name with non-ASCII unicode characters (Boundary Case)</t>
        </is>
      </c>
      <c r="D31" s="4" t="inlineStr">
        <is>
          <t>User is on the Sign Up page.</t>
        </is>
      </c>
      <c r="E31" s="4" t="inlineStr">
        <is>
          <t>1. Enter name with European accents/umlauts.
2. Enter valid email and passwords.
3. Click "Sign Up".</t>
        </is>
      </c>
      <c r="F31" s="4" t="inlineStr">
        <is>
          <t>Name: Günther Müller-Mäse</t>
        </is>
      </c>
      <c r="G31" s="4" t="inlineStr">
        <is>
          <t>Registration succeeds. The database and UI handle the UTF-8 unicode encoding correctly without errors.</t>
        </is>
      </c>
      <c r="H31" s="5">
        <f>HYPERLINK("screenshots/TC_SU_030.png", "View Screenshot")</f>
        <v/>
      </c>
    </row>
    <row r="32">
      <c r="A32" s="2" t="inlineStr">
        <is>
          <t>TC_SU_031</t>
        </is>
      </c>
      <c r="B32" s="3" t="inlineStr">
        <is>
          <t>Sign Up</t>
        </is>
      </c>
      <c r="C32" s="4" t="inlineStr">
        <is>
          <t>Registration with Full Name containing only space characters (Negative Flow)</t>
        </is>
      </c>
      <c r="D32" s="4" t="inlineStr">
        <is>
          <t>User is on the Sign Up page.</t>
        </is>
      </c>
      <c r="E32" s="4" t="inlineStr">
        <is>
          <t>1. Enter only spaces in the Full Name field.
2. Enter valid email and passwords.
3. Click "Sign Up".</t>
        </is>
      </c>
      <c r="F32" s="4" t="inlineStr">
        <is>
          <t>Name: "     ", Email: test@example.com</t>
        </is>
      </c>
      <c r="G32" s="4" t="inlineStr">
        <is>
          <t>Registration is blocked. System trims spaces and displays validation error: "Name is required" or "Invalid name format".</t>
        </is>
      </c>
      <c r="H32" s="5">
        <f>HYPERLINK("screenshots/TC_SU_031.png", "View Screenshot")</f>
        <v/>
      </c>
    </row>
    <row r="33">
      <c r="A33" s="2" t="inlineStr">
        <is>
          <t>TC_SU_032</t>
        </is>
      </c>
      <c r="B33" s="3" t="inlineStr">
        <is>
          <t>Sign Up</t>
        </is>
      </c>
      <c r="C33" s="4" t="inlineStr">
        <is>
          <t>Registration with email containing subdomains (Boundary Case)</t>
        </is>
      </c>
      <c r="D33" s="4" t="inlineStr">
        <is>
          <t>User is on the Sign Up page.</t>
        </is>
      </c>
      <c r="E33" s="4" t="inlineStr">
        <is>
          <t>1. Enter valid name.
2. Enter email with multiple subdomains.
3. Click "Sign Up".</t>
        </is>
      </c>
      <c r="F33" s="4" t="inlineStr">
        <is>
          <t>Email: user@mail.corp.dept.domain.co.uk</t>
        </is>
      </c>
      <c r="G33" s="4" t="inlineStr">
        <is>
          <t>Registration succeeds. Subdomain emails are validated and stored correctly.</t>
        </is>
      </c>
      <c r="H33" s="5">
        <f>HYPERLINK("screenshots/TC_SU_032.png", "View Screenshot")</f>
        <v/>
      </c>
    </row>
    <row r="34">
      <c r="A34" s="2" t="inlineStr">
        <is>
          <t>TC_SU_033</t>
        </is>
      </c>
      <c r="B34" s="3" t="inlineStr">
        <is>
          <t>Sign Up</t>
        </is>
      </c>
      <c r="C34" s="4" t="inlineStr">
        <is>
          <t>Registration with email containing '+' sign/alias (Boundary Case)</t>
        </is>
      </c>
      <c r="D34" s="4" t="inlineStr">
        <is>
          <t>User is on the Sign Up page.</t>
        </is>
      </c>
      <c r="E34" s="4" t="inlineStr">
        <is>
          <t>1. Enter valid name.
2. Enter email with an alias suffix.
3. Click "Sign Up".</t>
        </is>
      </c>
      <c r="F34" s="4" t="inlineStr">
        <is>
          <t>Email: user+testing@example.com</t>
        </is>
      </c>
      <c r="G34" s="4" t="inlineStr">
        <is>
          <t>Registration succeeds. Suffixes are accepted as standard email formats by the validation regex.</t>
        </is>
      </c>
      <c r="H34" s="5">
        <f>HYPERLINK("screenshots/TC_SU_033.png", "View Screenshot")</f>
        <v/>
      </c>
    </row>
    <row r="35">
      <c r="A35" s="2" t="inlineStr">
        <is>
          <t>TC_SU_034</t>
        </is>
      </c>
      <c r="B35" s="3" t="inlineStr">
        <is>
          <t>Sign Up</t>
        </is>
      </c>
      <c r="C35" s="4" t="inlineStr">
        <is>
          <t>Case-insensitive duplicate email registration (Negative Flow)</t>
        </is>
      </c>
      <c r="D35" s="4" t="inlineStr">
        <is>
          <t>User is on the Sign Up page. Account "registered_user@example.com" exists.</t>
        </is>
      </c>
      <c r="E35" s="4" t="inlineStr">
        <is>
          <t>1. Enter details.
2. Enter email "REGISTERED_USER@example.com" in uppercase.
3. Click "Sign Up".</t>
        </is>
      </c>
      <c r="F35" s="4" t="inlineStr">
        <is>
          <t>Email: REGISTERED_USER@example.com</t>
        </is>
      </c>
      <c r="G35" s="4" t="inlineStr">
        <is>
          <t>Registration is blocked. The email duplicate check is case-insensitive, preventing account duplication.</t>
        </is>
      </c>
      <c r="H35" s="5">
        <f>HYPERLINK("screenshots/TC_SU_034.png", "View Screenshot")</f>
        <v/>
      </c>
    </row>
    <row r="36">
      <c r="A36" s="2" t="inlineStr">
        <is>
          <t>TC_SU_035</t>
        </is>
      </c>
      <c r="B36" s="3" t="inlineStr">
        <is>
          <t>Sign Up</t>
        </is>
      </c>
      <c r="C36" s="4" t="inlineStr">
        <is>
          <t>Tab navigation order verification (UI Accessibility)</t>
        </is>
      </c>
      <c r="D36" s="4" t="inlineStr">
        <is>
          <t>User is on the Sign Up page.</t>
        </is>
      </c>
      <c r="E36" s="4" t="inlineStr">
        <is>
          <t>1. Click in the Full Name field.
2. Press "Tab" repeatedly to move focus.</t>
        </is>
      </c>
      <c r="F36" s="4" t="inlineStr">
        <is>
          <t>Keypress: Tab</t>
        </is>
      </c>
      <c r="G36" s="4" t="inlineStr">
        <is>
          <t>Focus traverses sequentially: Name -&gt; Email -&gt; Password -&gt; Confirm Password -&gt; Terms Checkbox -&gt; Sign Up Button -&gt; Login Link.</t>
        </is>
      </c>
      <c r="H36" s="5">
        <f>HYPERLINK("screenshots/TC_SU_035.png", "View Screenshot")</f>
        <v/>
      </c>
    </row>
    <row r="37">
      <c r="A37" s="2" t="inlineStr">
        <is>
          <t>TC_SU_036</t>
        </is>
      </c>
      <c r="B37" s="3" t="inlineStr">
        <is>
          <t>Sign Up</t>
        </is>
      </c>
      <c r="C37" s="4" t="inlineStr">
        <is>
          <t>Form submission using Enter key from Confirm Password field (UI/UX)</t>
        </is>
      </c>
      <c r="D37" s="4" t="inlineStr">
        <is>
          <t>User is on the Sign Up page.</t>
        </is>
      </c>
      <c r="E37" s="4" t="inlineStr">
        <is>
          <t>1. Fill out all fields with valid details.
2. Press "Enter" while cursor is in Confirm Password field.</t>
        </is>
      </c>
      <c r="F37" s="4" t="inlineStr">
        <is>
          <t>Keypress: Enter</t>
        </is>
      </c>
      <c r="G37" s="4" t="inlineStr">
        <is>
          <t>The Sign Up form submits successfully, registering the user account without requiring clicking the button.</t>
        </is>
      </c>
      <c r="H37" s="5">
        <f>HYPERLINK("screenshots/TC_SU_036.png", "View Screenshot")</f>
        <v/>
      </c>
    </row>
    <row r="38">
      <c r="A38" s="2" t="inlineStr">
        <is>
          <t>TC_SU_037</t>
        </is>
      </c>
      <c r="B38" s="3" t="inlineStr">
        <is>
          <t>Sign Up</t>
        </is>
      </c>
      <c r="C38" s="4" t="inlineStr">
        <is>
          <t>Input fields HTML type attribute validation (Technical verification)</t>
        </is>
      </c>
      <c r="D38" s="4" t="inlineStr">
        <is>
          <t>User is on the Sign Up page.</t>
        </is>
      </c>
      <c r="E38" s="4" t="inlineStr">
        <is>
          <t>1. Right-click and inspect input fields to view the HTML DOM structure.</t>
        </is>
      </c>
      <c r="F38" s="4" t="inlineStr">
        <is>
          <t>Inspect elements</t>
        </is>
      </c>
      <c r="G38" s="4" t="inlineStr">
        <is>
          <t>Email field has attribute `type="email"`, Password/Confirm fields have `type="password"` to trigger native mobile keyboard layouts and browser safety mechanisms.</t>
        </is>
      </c>
      <c r="H38" s="5">
        <f>HYPERLINK("screenshots/TC_SU_037.png", "View Screenshot")</f>
        <v/>
      </c>
    </row>
    <row r="39">
      <c r="A39" s="2" t="inlineStr">
        <is>
          <t>TC_SU_038</t>
        </is>
      </c>
      <c r="B39" s="3" t="inlineStr">
        <is>
          <t>Sign Up</t>
        </is>
      </c>
      <c r="C39" s="4" t="inlineStr">
        <is>
          <t>Verify 'Already have an account? Login' redirection link (UI Navigation)</t>
        </is>
      </c>
      <c r="D39" s="4" t="inlineStr">
        <is>
          <t>User is on the Sign Up page.</t>
        </is>
      </c>
      <c r="E39" s="4" t="inlineStr">
        <is>
          <t>1. Click the "Login" navigation link.</t>
        </is>
      </c>
      <c r="F39" s="4" t="inlineStr">
        <is>
          <t>Click Link</t>
        </is>
      </c>
      <c r="G39" s="4" t="inlineStr">
        <is>
          <t>User is successfully redirected to the Login page. URL changes to `/login`.</t>
        </is>
      </c>
      <c r="H39" s="5">
        <f>HYPERLINK("screenshots/TC_SU_038.png", "View Screenshot")</f>
        <v/>
      </c>
    </row>
    <row r="40">
      <c r="A40" s="2" t="inlineStr">
        <is>
          <t>TC_SU_039</t>
        </is>
      </c>
      <c r="B40" s="3" t="inlineStr">
        <is>
          <t>Sign Up</t>
        </is>
      </c>
      <c r="C40" s="4" t="inlineStr">
        <is>
          <t>Enforcement of HTTPS loading protocol (Security Test)</t>
        </is>
      </c>
      <c r="D40" s="4" t="inlineStr">
        <is>
          <t>User attempts to navigate to Sign Up page.</t>
        </is>
      </c>
      <c r="E40" s="4" t="inlineStr">
        <is>
          <t>1. Navigate to http://tichi-app-webapp-stage.web.app/signup (using HTTP).</t>
        </is>
      </c>
      <c r="F40" s="4" t="inlineStr">
        <is>
          <t>URL: http://...</t>
        </is>
      </c>
      <c r="G40" s="4" t="inlineStr">
        <is>
          <t>The server automatically redirects to https://tichi-app-webapp-stage.web.app/signup, enforcing SSL/TLS secure traffic.</t>
        </is>
      </c>
      <c r="H40" s="5">
        <f>HYPERLINK("screenshots/TC_SU_039.png", "View Screenshot")</f>
        <v/>
      </c>
    </row>
    <row r="41">
      <c r="A41" s="2" t="inlineStr">
        <is>
          <t>TC_SU_040</t>
        </is>
      </c>
      <c r="B41" s="3" t="inlineStr">
        <is>
          <t>Sign Up</t>
        </is>
      </c>
      <c r="C41" s="4" t="inlineStr">
        <is>
          <t>Sign Up page responsiveness scaling (UI Compatibility)</t>
        </is>
      </c>
      <c r="D41" s="4" t="inlineStr">
        <is>
          <t>User opens the Sign Up page.</t>
        </is>
      </c>
      <c r="E41" s="4" t="inlineStr">
        <is>
          <t>1. Resize browser window to mobile screen dimensions (e.g. 375x812).
2. Verify layout alignment.</t>
        </is>
      </c>
      <c r="F41" s="4" t="inlineStr">
        <is>
          <t>Resolution: 375x812</t>
        </is>
      </c>
      <c r="G41" s="4" t="inlineStr">
        <is>
          <t>Layout shifts to single-column card stack. Inputs, labels, and the sign up button remain fully visible, centered, and clickable without horizontal overflow.</t>
        </is>
      </c>
      <c r="H41" s="5">
        <f>HYPERLINK("screenshots/TC_SU_040.png", "View Screenshot")</f>
        <v/>
      </c>
    </row>
    <row r="42">
      <c r="A42" s="2" t="inlineStr">
        <is>
          <t>TC_LI_001</t>
        </is>
      </c>
      <c r="B42" s="3" t="inlineStr">
        <is>
          <t>Login</t>
        </is>
      </c>
      <c r="C42" s="4" t="inlineStr">
        <is>
          <t>Successful login with valid credentials (Positive Flow)</t>
        </is>
      </c>
      <c r="D42" s="4" t="inlineStr">
        <is>
          <t>1. User is on the Login page.
2. User has a registered account.</t>
        </is>
      </c>
      <c r="E42" s="4" t="inlineStr">
        <is>
          <t>1. Enter registered email address.
2. Enter correct password.
3. Click the "Login" button.</t>
        </is>
      </c>
      <c r="F42" s="4" t="inlineStr">
        <is>
          <t>Email: registered_user@example.com
Password: P@ssword123!</t>
        </is>
      </c>
      <c r="G42" s="4" t="inlineStr">
        <is>
          <t>Login succeeds. User session is initialized, and user is redirected to the Dashboard/Home page.</t>
        </is>
      </c>
      <c r="H42" s="5">
        <f>HYPERLINK("screenshots/TC_LI_001.png", "View Screenshot")</f>
        <v/>
      </c>
    </row>
    <row r="43">
      <c r="A43" s="2" t="inlineStr">
        <is>
          <t>TC_LI_002</t>
        </is>
      </c>
      <c r="B43" s="3" t="inlineStr">
        <is>
          <t>Login</t>
        </is>
      </c>
      <c r="C43" s="4" t="inlineStr">
        <is>
          <t>Login with all fields empty (Negative Flow)</t>
        </is>
      </c>
      <c r="D43" s="4" t="inlineStr">
        <is>
          <t>User is on the Login page.</t>
        </is>
      </c>
      <c r="E43" s="4" t="inlineStr">
        <is>
          <t>1. Leave both Email and Password fields empty.
2. Click the "Login" button.</t>
        </is>
      </c>
      <c r="F43" s="4" t="inlineStr">
        <is>
          <t>None</t>
        </is>
      </c>
      <c r="G43" s="4" t="inlineStr">
        <is>
          <t>Login is blocked. Under each field, the system displays validation error messages (e.g., "Email is required", "Password is required").</t>
        </is>
      </c>
      <c r="H43" s="5">
        <f>HYPERLINK("screenshots/TC_LI_002.png", "View Screenshot")</f>
        <v/>
      </c>
    </row>
    <row r="44">
      <c r="A44" s="2" t="inlineStr">
        <is>
          <t>TC_LI_003</t>
        </is>
      </c>
      <c r="B44" s="3" t="inlineStr">
        <is>
          <t>Login</t>
        </is>
      </c>
      <c r="C44" s="4" t="inlineStr">
        <is>
          <t>Login with invalid email format (Negative Flow)</t>
        </is>
      </c>
      <c r="D44" s="4" t="inlineStr">
        <is>
          <t>User is on the Login page.</t>
        </is>
      </c>
      <c r="E44" s="4" t="inlineStr">
        <is>
          <t>1. Enter an invalid email format.
2. Enter a password.
3. Click the "Login" button.</t>
        </is>
      </c>
      <c r="F44" s="4" t="inlineStr">
        <is>
          <t>Email: testuser, Password: P@ssword123!</t>
        </is>
      </c>
      <c r="G44" s="4" t="inlineStr">
        <is>
          <t>Login is blocked. The email field displays a validation error: "Please enter a valid email address".</t>
        </is>
      </c>
      <c r="H44" s="5">
        <f>HYPERLINK("screenshots/TC_LI_003.png", "View Screenshot")</f>
        <v/>
      </c>
    </row>
    <row r="45">
      <c r="A45" s="2" t="inlineStr">
        <is>
          <t>TC_LI_004</t>
        </is>
      </c>
      <c r="B45" s="3" t="inlineStr">
        <is>
          <t>Login</t>
        </is>
      </c>
      <c r="C45" s="4" t="inlineStr">
        <is>
          <t>Login with unregistered email (Negative Flow)</t>
        </is>
      </c>
      <c r="D45" s="4" t="inlineStr">
        <is>
          <t>User is on the Login page.</t>
        </is>
      </c>
      <c r="E45" s="4" t="inlineStr">
        <is>
          <t>1. Enter an email that is not in the database.
2. Enter a password.
3. Click the "Login" button.</t>
        </is>
      </c>
      <c r="F45" s="4" t="inlineStr">
        <is>
          <t>Email: nonexisting@example.com, Password: P@ssword123!</t>
        </is>
      </c>
      <c r="G45" s="4" t="inlineStr">
        <is>
          <t>Login is blocked. System displays a general error: "Invalid email or password" to prevent account harvesting.</t>
        </is>
      </c>
      <c r="H45" s="5">
        <f>HYPERLINK("screenshots/TC_LI_004.png", "View Screenshot")</f>
        <v/>
      </c>
    </row>
    <row r="46">
      <c r="A46" s="2" t="inlineStr">
        <is>
          <t>TC_LI_005</t>
        </is>
      </c>
      <c r="B46" s="3" t="inlineStr">
        <is>
          <t>Login</t>
        </is>
      </c>
      <c r="C46" s="4" t="inlineStr">
        <is>
          <t>Login with wrong password (Negative Flow)</t>
        </is>
      </c>
      <c r="D46" s="4" t="inlineStr">
        <is>
          <t>User is on the Login page. User has a registered account.</t>
        </is>
      </c>
      <c r="E46" s="4" t="inlineStr">
        <is>
          <t>1. Enter registered email address.
2. Enter an incorrect password.
3. Click the "Login" button.</t>
        </is>
      </c>
      <c r="F46" s="4" t="inlineStr">
        <is>
          <t>Email: registered_user@example.com, Password: WrongPassword123!</t>
        </is>
      </c>
      <c r="G46" s="4" t="inlineStr">
        <is>
          <t>Login is blocked. System displays a general error: "Invalid email or password".</t>
        </is>
      </c>
      <c r="H46" s="5">
        <f>HYPERLINK("screenshots/TC_LI_005.png", "View Screenshot")</f>
        <v/>
      </c>
    </row>
    <row r="47">
      <c r="A47" s="2" t="inlineStr">
        <is>
          <t>TC_LI_006</t>
        </is>
      </c>
      <c r="B47" s="3" t="inlineStr">
        <is>
          <t>Login</t>
        </is>
      </c>
      <c r="C47" s="4" t="inlineStr">
        <is>
          <t>Login email case-insensitivity validation (Boundary Case)</t>
        </is>
      </c>
      <c r="D47" s="4" t="inlineStr">
        <is>
          <t>User is on the Login page. Account registered under "user@example.com".</t>
        </is>
      </c>
      <c r="E47" s="4" t="inlineStr">
        <is>
          <t>1. Enter email as "USER@EXAMPLE.COM" in uppercase.
2. Enter correct password.
3. Click "Login".</t>
        </is>
      </c>
      <c r="F47" s="4" t="inlineStr">
        <is>
          <t>Email: USER@EXAMPLE.COM, Password: P@ssword123!</t>
        </is>
      </c>
      <c r="G47" s="4" t="inlineStr">
        <is>
          <t>Login succeeds. The system normalizes email inputs to lowercase before lookup, allowing successful authentication.</t>
        </is>
      </c>
      <c r="H47" s="5">
        <f>HYPERLINK("screenshots/TC_LI_006.png", "View Screenshot")</f>
        <v/>
      </c>
    </row>
    <row r="48">
      <c r="A48" s="2" t="inlineStr">
        <is>
          <t>TC_LI_007</t>
        </is>
      </c>
      <c r="B48" s="3" t="inlineStr">
        <is>
          <t>Login</t>
        </is>
      </c>
      <c r="C48" s="4" t="inlineStr">
        <is>
          <t>Login password case-sensitivity validation (Boundary Case)</t>
        </is>
      </c>
      <c r="D48" s="4" t="inlineStr">
        <is>
          <t>User is on the Login page.</t>
        </is>
      </c>
      <c r="E48" s="4" t="inlineStr">
        <is>
          <t>1. Enter registered email.
2. Enter password in wrong case.
3. Click "Login".</t>
        </is>
      </c>
      <c r="F48" s="4" t="inlineStr">
        <is>
          <t>Password: p@ssword123! (registered as P@ssword123!)</t>
        </is>
      </c>
      <c r="G48" s="4" t="inlineStr">
        <is>
          <t>Login is blocked. Password strings are case-sensitive. Error: "Invalid email or password" is shown.</t>
        </is>
      </c>
      <c r="H48" s="5">
        <f>HYPERLINK("screenshots/TC_LI_007.png", "View Screenshot")</f>
        <v/>
      </c>
    </row>
    <row r="49">
      <c r="A49" s="2" t="inlineStr">
        <is>
          <t>TC_LI_008</t>
        </is>
      </c>
      <c r="B49" s="3" t="inlineStr">
        <is>
          <t>Login</t>
        </is>
      </c>
      <c r="C49" s="4" t="inlineStr">
        <is>
          <t>Login email with leading and trailing spaces (Boundary Case)</t>
        </is>
      </c>
      <c r="D49" s="4" t="inlineStr">
        <is>
          <t>User is on the Login page.</t>
        </is>
      </c>
      <c r="E49" s="4" t="inlineStr">
        <is>
          <t>1. Enter email with leading/trailing spaces.
2. Enter correct password.
3. Click "Login".</t>
        </is>
      </c>
      <c r="F49" s="4" t="inlineStr">
        <is>
          <t>Email: "   registered_user@example.com   ", Password: P@ssword123!</t>
        </is>
      </c>
      <c r="G49" s="4" t="inlineStr">
        <is>
          <t>Login succeeds. The system trims whitespace from email input automatically before processing lookup.</t>
        </is>
      </c>
      <c r="H49" s="5">
        <f>HYPERLINK("screenshots/TC_LI_008.png", "View Screenshot")</f>
        <v/>
      </c>
    </row>
    <row r="50">
      <c r="A50" s="2" t="inlineStr">
        <is>
          <t>TC_LI_009</t>
        </is>
      </c>
      <c r="B50" s="3" t="inlineStr">
        <is>
          <t>Login</t>
        </is>
      </c>
      <c r="C50" s="4" t="inlineStr">
        <is>
          <t>Login password with leading and trailing spaces (Boundary Case)</t>
        </is>
      </c>
      <c r="D50" s="4" t="inlineStr">
        <is>
          <t>User is on the Login page.</t>
        </is>
      </c>
      <c r="E50" s="4" t="inlineStr">
        <is>
          <t>1. Enter email.
2. Enter password with leading/trailing spaces.
3. Click "Login".</t>
        </is>
      </c>
      <c r="F50" s="4" t="inlineStr">
        <is>
          <t>Password: "   P@ssword123!   "</t>
        </is>
      </c>
      <c r="G50" s="4" t="inlineStr">
        <is>
          <t>Login is blocked. Spaces in passwords are treated as characters; trimming does not occur. Error: "Invalid email or password".</t>
        </is>
      </c>
      <c r="H50" s="5">
        <f>HYPERLINK("screenshots/TC_LI_009.png", "View Screenshot")</f>
        <v/>
      </c>
    </row>
    <row r="51">
      <c r="A51" s="2" t="inlineStr">
        <is>
          <t>TC_LI_010</t>
        </is>
      </c>
      <c r="B51" s="3" t="inlineStr">
        <is>
          <t>Login</t>
        </is>
      </c>
      <c r="C51" s="4" t="inlineStr">
        <is>
          <t>Password masking validation on input (Security Test)</t>
        </is>
      </c>
      <c r="D51" s="4" t="inlineStr">
        <is>
          <t>User is on the Login page.</t>
        </is>
      </c>
      <c r="E51" s="4" t="inlineStr">
        <is>
          <t>1. Type characters into the Password field.</t>
        </is>
      </c>
      <c r="F51" s="4" t="inlineStr">
        <is>
          <t>Password: abcde</t>
        </is>
      </c>
      <c r="G51" s="4" t="inlineStr">
        <is>
          <t>The inputted text is masked instantly by bullet characters (dots or asterisks) to prevent shoulder surfing.</t>
        </is>
      </c>
      <c r="H51" s="5">
        <f>HYPERLINK("screenshots/TC_LI_010.png", "View Screenshot")</f>
        <v/>
      </c>
    </row>
    <row r="52">
      <c r="A52" s="2" t="inlineStr">
        <is>
          <t>TC_LI_011</t>
        </is>
      </c>
      <c r="B52" s="3" t="inlineStr">
        <is>
          <t>Login</t>
        </is>
      </c>
      <c r="C52" s="4" t="inlineStr">
        <is>
          <t>Password show/hide visibility toggle functionality (UI/UX)</t>
        </is>
      </c>
      <c r="D52" s="4" t="inlineStr">
        <is>
          <t>User is on the Login page.</t>
        </is>
      </c>
      <c r="E52" s="4" t="inlineStr">
        <is>
          <t>1. Type password in Password field.
2. Click the "eye" icon or "Show" toggle button.</t>
        </is>
      </c>
      <c r="F52" s="4" t="inlineStr">
        <is>
          <t>Click toggle</t>
        </is>
      </c>
      <c r="G52" s="4" t="inlineStr">
        <is>
          <t>Password mask changes to plain text. Clicking the toggle again obscures the text back to bullets.</t>
        </is>
      </c>
      <c r="H52" s="5">
        <f>HYPERLINK("screenshots/TC_LI_011.png", "View Screenshot")</f>
        <v/>
      </c>
    </row>
    <row r="53">
      <c r="A53" s="2" t="inlineStr">
        <is>
          <t>TC_LI_012</t>
        </is>
      </c>
      <c r="B53" s="3" t="inlineStr">
        <is>
          <t>Login</t>
        </is>
      </c>
      <c r="C53" s="4" t="inlineStr">
        <is>
          <t>Copying text restriction from masked password field (Security Test)</t>
        </is>
      </c>
      <c r="D53" s="4" t="inlineStr">
        <is>
          <t>User is on the Login page.</t>
        </is>
      </c>
      <c r="E53" s="4" t="inlineStr">
        <is>
          <t>1. Type password.
2. Highlight masked text and try to copy it (Ctrl+C).</t>
        </is>
      </c>
      <c r="F53" s="4" t="inlineStr">
        <is>
          <t>Action: Copy password</t>
        </is>
      </c>
      <c r="G53" s="4" t="inlineStr">
        <is>
          <t>Copy option is disabled via context menu, or clipboard gets empty string or dot characters instead of plain text.</t>
        </is>
      </c>
      <c r="H53" s="5">
        <f>HYPERLINK("screenshots/TC_LI_012.png", "View Screenshot")</f>
        <v/>
      </c>
    </row>
    <row r="54">
      <c r="A54" s="2" t="inlineStr">
        <is>
          <t>TC_LI_013</t>
        </is>
      </c>
      <c r="B54" s="3" t="inlineStr">
        <is>
          <t>Login</t>
        </is>
      </c>
      <c r="C54" s="4" t="inlineStr">
        <is>
          <t>Tab key navigation sequence traversal (UI Accessibility)</t>
        </is>
      </c>
      <c r="D54" s="4" t="inlineStr">
        <is>
          <t>User is on the Login page.</t>
        </is>
      </c>
      <c r="E54" s="4" t="inlineStr">
        <is>
          <t>1. Click in Email field.
2. Press "Tab" repeatedly to move focus.</t>
        </is>
      </c>
      <c r="F54" s="4" t="inlineStr">
        <is>
          <t>Keypress: Tab</t>
        </is>
      </c>
      <c r="G54" s="4" t="inlineStr">
        <is>
          <t>Focus traverses sequentially: Email -&gt; Password -&gt; Show/Hide -&gt; Remember Me -&gt; Login Button -&gt; Forgot Password -&gt; Sign Up Link.</t>
        </is>
      </c>
      <c r="H54" s="5">
        <f>HYPERLINK("screenshots/TC_LI_013.png", "View Screenshot")</f>
        <v/>
      </c>
    </row>
    <row r="55">
      <c r="A55" s="2" t="inlineStr">
        <is>
          <t>TC_LI_014</t>
        </is>
      </c>
      <c r="B55" s="3" t="inlineStr">
        <is>
          <t>Login</t>
        </is>
      </c>
      <c r="C55" s="4" t="inlineStr">
        <is>
          <t>Login form submission using Enter key from Email field (UI/UX)</t>
        </is>
      </c>
      <c r="D55" s="4" t="inlineStr">
        <is>
          <t>User is on the Login page.</t>
        </is>
      </c>
      <c r="E55" s="4" t="inlineStr">
        <is>
          <t>1. Enter email and password.
2. Press "Enter" key while cursor is in the Email input field.</t>
        </is>
      </c>
      <c r="F55" s="4" t="inlineStr">
        <is>
          <t>Keypress: Enter</t>
        </is>
      </c>
      <c r="G55" s="4" t="inlineStr">
        <is>
          <t>The login form submits successfully, initiating authentication without needing to focus on the button.</t>
        </is>
      </c>
      <c r="H55" s="5">
        <f>HYPERLINK("screenshots/TC_LI_014.png", "View Screenshot")</f>
        <v/>
      </c>
    </row>
    <row r="56">
      <c r="A56" s="2" t="inlineStr">
        <is>
          <t>TC_LI_015</t>
        </is>
      </c>
      <c r="B56" s="3" t="inlineStr">
        <is>
          <t>Login</t>
        </is>
      </c>
      <c r="C56" s="4" t="inlineStr">
        <is>
          <t>Login form submission using Enter key from Password field (UI/UX)</t>
        </is>
      </c>
      <c r="D56" s="4" t="inlineStr">
        <is>
          <t>User is on the Login page.</t>
        </is>
      </c>
      <c r="E56" s="4" t="inlineStr">
        <is>
          <t>1. Enter email and password.
2. Press "Enter" key while cursor is in the Password input field.</t>
        </is>
      </c>
      <c r="F56" s="4" t="inlineStr">
        <is>
          <t>Keypress: Enter</t>
        </is>
      </c>
      <c r="G56" s="4" t="inlineStr">
        <is>
          <t>The login form submits successfully, initiating authentication.</t>
        </is>
      </c>
      <c r="H56" s="5">
        <f>HYPERLINK("screenshots/TC_LI_015.png", "View Screenshot")</f>
        <v/>
      </c>
    </row>
    <row r="57">
      <c r="A57" s="2" t="inlineStr">
        <is>
          <t>TC_LI_016</t>
        </is>
      </c>
      <c r="B57" s="3" t="inlineStr">
        <is>
          <t>Login</t>
        </is>
      </c>
      <c r="C57" s="4" t="inlineStr">
        <is>
          <t>SQL Injection vulnerability test in Login Email field (Security Test)</t>
        </is>
      </c>
      <c r="D57" s="4" t="inlineStr">
        <is>
          <t>User is on the Login page.</t>
        </is>
      </c>
      <c r="E57" s="4" t="inlineStr">
        <is>
          <t>1. Enter SQL injection statement in Email field.
2. Enter random password.
3. Click "Login".</t>
        </is>
      </c>
      <c r="F57" s="4" t="inlineStr">
        <is>
          <t>Email: "' OR '1'='1", Password: random</t>
        </is>
      </c>
      <c r="G57" s="4" t="inlineStr">
        <is>
          <t>Login is blocked. System rejects format or parses the input literally, displaying "Invalid email or password". No database leak/bypass occurs.</t>
        </is>
      </c>
      <c r="H57" s="5">
        <f>HYPERLINK("screenshots/TC_LI_016.png", "View Screenshot")</f>
        <v/>
      </c>
    </row>
    <row r="58">
      <c r="A58" s="2" t="inlineStr">
        <is>
          <t>TC_LI_017</t>
        </is>
      </c>
      <c r="B58" s="3" t="inlineStr">
        <is>
          <t>Login</t>
        </is>
      </c>
      <c r="C58" s="4" t="inlineStr">
        <is>
          <t>SQL Injection vulnerability test in Login Password field (Security Test)</t>
        </is>
      </c>
      <c r="D58" s="4" t="inlineStr">
        <is>
          <t>User is on the Login page.</t>
        </is>
      </c>
      <c r="E58" s="4" t="inlineStr">
        <is>
          <t>1. Enter valid email.
2. Enter SQL injection payload in Password field.
3. Click "Login".</t>
        </is>
      </c>
      <c r="F58" s="4" t="inlineStr">
        <is>
          <t>Password: "' OR 1=1 --"</t>
        </is>
      </c>
      <c r="G58" s="4" t="inlineStr">
        <is>
          <t>Login is blocked. System hashes input or parses literally, showing "Invalid email or password" without bypassing auth.</t>
        </is>
      </c>
      <c r="H58" s="5">
        <f>HYPERLINK("screenshots/TC_LI_017.png", "View Screenshot")</f>
        <v/>
      </c>
    </row>
    <row r="59">
      <c r="A59" s="2" t="inlineStr">
        <is>
          <t>TC_LI_018</t>
        </is>
      </c>
      <c r="B59" s="3" t="inlineStr">
        <is>
          <t>Login</t>
        </is>
      </c>
      <c r="C59" s="4" t="inlineStr">
        <is>
          <t>XSS script payload injection in Login Email field (Security Test)</t>
        </is>
      </c>
      <c r="D59" s="4" t="inlineStr">
        <is>
          <t>User is on the Login page.</t>
        </is>
      </c>
      <c r="E59" s="4" t="inlineStr">
        <is>
          <t>1. Enter XSS script in Email field.
2. Click "Login".</t>
        </is>
      </c>
      <c r="F59" s="4" t="inlineStr">
        <is>
          <t>Email: &lt;script&gt;alert('XSS')&lt;/script&gt;@example.com</t>
        </is>
      </c>
      <c r="G59" s="4" t="inlineStr">
        <is>
          <t>Submission is blocked by email format check, or payload is HTML encoded before rendering on the page. Script does not execute.</t>
        </is>
      </c>
      <c r="H59" s="5">
        <f>HYPERLINK("screenshots/TC_LI_018.png", "View Screenshot")</f>
        <v/>
      </c>
    </row>
    <row r="60">
      <c r="A60" s="2" t="inlineStr">
        <is>
          <t>TC_LI_019</t>
        </is>
      </c>
      <c r="B60" s="3" t="inlineStr">
        <is>
          <t>Login</t>
        </is>
      </c>
      <c r="C60" s="4" t="inlineStr">
        <is>
          <t>Account lockout tracking - 1st failed attempt warning (Security Test)</t>
        </is>
      </c>
      <c r="D60" s="4" t="inlineStr">
        <is>
          <t>User is on the Login page. Account exists.</t>
        </is>
      </c>
      <c r="E60" s="4" t="inlineStr">
        <is>
          <t>1. Enter registered email.
2. Enter incorrect password once.
3. Click "Login".</t>
        </is>
      </c>
      <c r="F60" s="4" t="inlineStr">
        <is>
          <t>1st Failed attempt</t>
        </is>
      </c>
      <c r="G60" s="4" t="inlineStr">
        <is>
          <t>Login fails. Displays "Invalid email or password" and resets password input. User remains unlocked.</t>
        </is>
      </c>
      <c r="H60" s="5">
        <f>HYPERLINK("screenshots/TC_LI_019.png", "View Screenshot")</f>
        <v/>
      </c>
    </row>
    <row r="61">
      <c r="A61" s="2" t="inlineStr">
        <is>
          <t>TC_LI_020</t>
        </is>
      </c>
      <c r="B61" s="3" t="inlineStr">
        <is>
          <t>Login</t>
        </is>
      </c>
      <c r="C61" s="4" t="inlineStr">
        <is>
          <t>Account lockout triggering on 5th consecutive failed login (Security Test)</t>
        </is>
      </c>
      <c r="D61" s="4" t="inlineStr">
        <is>
          <t>User is on the Login page.</t>
        </is>
      </c>
      <c r="E61" s="4" t="inlineStr">
        <is>
          <t>1. Enter registered email.
2. Enter wrong password 5 consecutive times.</t>
        </is>
      </c>
      <c r="F61" s="4" t="inlineStr">
        <is>
          <t>5 Failed attempts</t>
        </is>
      </c>
      <c r="G61" s="4" t="inlineStr">
        <is>
          <t>On the 5th attempt, the login fails and displays warning: "Account temporarily locked. Please try again after 15 minutes or reset your password".</t>
        </is>
      </c>
      <c r="H61" s="5">
        <f>HYPERLINK("screenshots/TC_LI_020.png", "View Screenshot")</f>
        <v/>
      </c>
    </row>
    <row r="62">
      <c r="A62" s="2" t="inlineStr">
        <is>
          <t>TC_LI_021</t>
        </is>
      </c>
      <c r="B62" s="3" t="inlineStr">
        <is>
          <t>Login</t>
        </is>
      </c>
      <c r="C62" s="4" t="inlineStr">
        <is>
          <t>Login blocking during active account lockout period (Security Test)</t>
        </is>
      </c>
      <c r="D62" s="4" t="inlineStr">
        <is>
          <t>User account is locked out.</t>
        </is>
      </c>
      <c r="E62" s="4" t="inlineStr">
        <is>
          <t>1. Attempt to log in with the CORRECT credentials during the 15-minute lockout window.</t>
        </is>
      </c>
      <c r="F62" s="4" t="inlineStr">
        <is>
          <t>Correct credentials during lockout</t>
        </is>
      </c>
      <c r="G62" s="4" t="inlineStr">
        <is>
          <t>Login is blocked immediately. Displays "Account is locked. Try again in X minutes" without verifying credentials.</t>
        </is>
      </c>
      <c r="H62" s="5">
        <f>HYPERLINK("screenshots/TC_LI_021.png", "View Screenshot")</f>
        <v/>
      </c>
    </row>
    <row r="63">
      <c r="A63" s="2" t="inlineStr">
        <is>
          <t>TC_LI_022</t>
        </is>
      </c>
      <c r="B63" s="3" t="inlineStr">
        <is>
          <t>Login</t>
        </is>
      </c>
      <c r="C63" s="4" t="inlineStr">
        <is>
          <t>Automatic account lockout release after timer expiration (Security Test)</t>
        </is>
      </c>
      <c r="D63" s="4" t="inlineStr">
        <is>
          <t>User account was locked. Lockout timer of 15 minutes has elapsed.</t>
        </is>
      </c>
      <c r="E63" s="4" t="inlineStr">
        <is>
          <t>1. Enter correct email and password.
2. Click "Login".</t>
        </is>
      </c>
      <c r="F63" s="4" t="inlineStr">
        <is>
          <t>Attempt after 15 mins</t>
        </is>
      </c>
      <c r="G63" s="4" t="inlineStr">
        <is>
          <t>Login succeeds. Lockout counter resets to 0, session initializes, and user is routed to Dashboard.</t>
        </is>
      </c>
      <c r="H63" s="5">
        <f>HYPERLINK("screenshots/TC_LI_022.png", "View Screenshot")</f>
        <v/>
      </c>
    </row>
    <row r="64">
      <c r="A64" s="2" t="inlineStr">
        <is>
          <t>TC_LI_023</t>
        </is>
      </c>
      <c r="B64" s="3" t="inlineStr">
        <is>
          <t>Login</t>
        </is>
      </c>
      <c r="C64" s="4" t="inlineStr">
        <is>
          <t>Session persistence via Remember Me on browser restart (Positive Flow)</t>
        </is>
      </c>
      <c r="D64" s="4" t="inlineStr">
        <is>
          <t>User is on the Login page.</t>
        </is>
      </c>
      <c r="E64" s="4" t="inlineStr">
        <is>
          <t>1. Enter correct credentials.
2. Check "Remember Me" checkbox.
3. Click "Login".
4. Close the browser tab and reopen it.
5. Navigate to app URL.</t>
        </is>
      </c>
      <c r="F64" s="4" t="inlineStr">
        <is>
          <t>Remember Me: Checked</t>
        </is>
      </c>
      <c r="G64" s="4" t="inlineStr">
        <is>
          <t>User session is preserved. Login screen is bypassed, routing user directly to Dashboard.</t>
        </is>
      </c>
      <c r="H64" s="5">
        <f>HYPERLINK("screenshots/TC_LI_023.png", "View Screenshot")</f>
        <v/>
      </c>
    </row>
    <row r="65">
      <c r="A65" s="2" t="inlineStr">
        <is>
          <t>TC_LI_024</t>
        </is>
      </c>
      <c r="B65" s="3" t="inlineStr">
        <is>
          <t>Login</t>
        </is>
      </c>
      <c r="C65" s="4" t="inlineStr">
        <is>
          <t>Session expiration when Remember Me is unchecked (Boundary Case)</t>
        </is>
      </c>
      <c r="D65" s="4" t="inlineStr">
        <is>
          <t>User is on the Login page.</t>
        </is>
      </c>
      <c r="E65" s="4" t="inlineStr">
        <is>
          <t>1. Enter valid credentials.
2. Leave "Remember Me" unchecked.
3. Click "Login".
4. Close and reopen browser.
5. Navigate to app URL.</t>
        </is>
      </c>
      <c r="F65" s="4" t="inlineStr">
        <is>
          <t>Remember Me: Unchecked</t>
        </is>
      </c>
      <c r="G65" s="4" t="inlineStr">
        <is>
          <t>User is redirected to the Login page. Active session cookie has expired with the browser lifecycle.</t>
        </is>
      </c>
      <c r="H65" s="5">
        <f>HYPERLINK("screenshots/TC_LI_024.png", "View Screenshot")</f>
        <v/>
      </c>
    </row>
    <row r="66">
      <c r="A66" s="2" t="inlineStr">
        <is>
          <t>TC_LI_025</t>
        </is>
      </c>
      <c r="B66" s="3" t="inlineStr">
        <is>
          <t>Login</t>
        </is>
      </c>
      <c r="C66" s="4" t="inlineStr">
        <is>
          <t>Access validation via browser Back button post-Logout (Security Test)</t>
        </is>
      </c>
      <c r="D66" s="4" t="inlineStr">
        <is>
          <t>User has logged out and is on the Login page.</t>
        </is>
      </c>
      <c r="E66" s="4" t="inlineStr">
        <is>
          <t>1. Click the browser's "Back" button.</t>
        </is>
      </c>
      <c r="F66" s="4" t="inlineStr">
        <is>
          <t>Browser Back Click</t>
        </is>
      </c>
      <c r="G66" s="4" t="inlineStr">
        <is>
          <t>User remains on the Login screen, or is redirected to login with a session timeout warning. Dashboard page is not displayed from cache.</t>
        </is>
      </c>
      <c r="H66" s="5">
        <f>HYPERLINK("screenshots/TC_LI_025.png", "View Screenshot")</f>
        <v/>
      </c>
    </row>
    <row r="67">
      <c r="A67" s="2" t="inlineStr">
        <is>
          <t>TC_LI_026</t>
        </is>
      </c>
      <c r="B67" s="3" t="inlineStr">
        <is>
          <t>Login</t>
        </is>
      </c>
      <c r="C67" s="4" t="inlineStr">
        <is>
          <t>Access validation via browser Back button post-Login (UI/UX)</t>
        </is>
      </c>
      <c r="D67" s="4" t="inlineStr">
        <is>
          <t>User has logged in and is viewing the Dashboard.</t>
        </is>
      </c>
      <c r="E67" s="4" t="inlineStr">
        <is>
          <t>1. Click the browser's "Back" button.</t>
        </is>
      </c>
      <c r="F67" s="4" t="inlineStr">
        <is>
          <t>Browser Back Click</t>
        </is>
      </c>
      <c r="G67" s="4" t="inlineStr">
        <is>
          <t>User remains on the Dashboard page, or the login page redirects them back to dashboard, preventing raw login form access when authenticated.</t>
        </is>
      </c>
      <c r="H67" s="5">
        <f>HYPERLINK("screenshots/TC_LI_026.png", "View Screenshot")</f>
        <v/>
      </c>
    </row>
    <row r="68">
      <c r="A68" s="2" t="inlineStr">
        <is>
          <t>TC_LI_027</t>
        </is>
      </c>
      <c r="B68" s="3" t="inlineStr">
        <is>
          <t>Login</t>
        </is>
      </c>
      <c r="C68" s="4" t="inlineStr">
        <is>
          <t>Direct Dashboard URL navigation without active session (Security Test)</t>
        </is>
      </c>
      <c r="D68" s="4" t="inlineStr">
        <is>
          <t>User has no active session.</t>
        </is>
      </c>
      <c r="E68" s="4" t="inlineStr">
        <is>
          <t>1. Enter dashboard URL: https://tichi-app-webapp-stage.web.app/dashboard.</t>
        </is>
      </c>
      <c r="F68" s="4" t="inlineStr">
        <is>
          <t>Direct URL access</t>
        </is>
      </c>
      <c r="G68" s="4" t="inlineStr">
        <is>
          <t>Access is denied. User is automatically redirected to the Login page with a redirection URL query parameter.</t>
        </is>
      </c>
      <c r="H68" s="5">
        <f>HYPERLINK("screenshots/TC_LI_027.png", "View Screenshot")</f>
        <v/>
      </c>
    </row>
    <row r="69">
      <c r="A69" s="2" t="inlineStr">
        <is>
          <t>TC_LI_028</t>
        </is>
      </c>
      <c r="B69" s="3" t="inlineStr">
        <is>
          <t>Login</t>
        </is>
      </c>
      <c r="C69" s="4" t="inlineStr">
        <is>
          <t>Direct Login URL navigation with active session (UI Flow)</t>
        </is>
      </c>
      <c r="D69" s="4" t="inlineStr">
        <is>
          <t>User has an active login session.</t>
        </is>
      </c>
      <c r="E69" s="4" t="inlineStr">
        <is>
          <t>1. Enter login URL: https://tichi-app-webapp-stage.web.app/login.</t>
        </is>
      </c>
      <c r="F69" s="4" t="inlineStr">
        <is>
          <t>Direct URL access</t>
        </is>
      </c>
      <c r="G69" s="4" t="inlineStr">
        <is>
          <t>User is automatically intercepted and redirected to the Dashboard page, preventing redundant login actions.</t>
        </is>
      </c>
      <c r="H69" s="5">
        <f>HYPERLINK("screenshots/TC_LI_028.png", "View Screenshot")</f>
        <v/>
      </c>
    </row>
    <row r="70">
      <c r="A70" s="2" t="inlineStr">
        <is>
          <t>TC_LI_029</t>
        </is>
      </c>
      <c r="B70" s="3" t="inlineStr">
        <is>
          <t>Login</t>
        </is>
      </c>
      <c r="C70" s="4" t="inlineStr">
        <is>
          <t>Session idle timeout expiration validation (Security Test)</t>
        </is>
      </c>
      <c r="D70" s="4" t="inlineStr">
        <is>
          <t>User is logged in on the Dashboard page.</t>
        </is>
      </c>
      <c r="E70" s="4" t="inlineStr">
        <is>
          <t>1. Leave the page inactive for the configured timeout duration (e.g. 30 minutes).
2. Click any interactive dashboard element.</t>
        </is>
      </c>
      <c r="F70" s="4" t="inlineStr">
        <is>
          <t>Action after 30 mins idle</t>
        </is>
      </c>
      <c r="G70" s="4" t="inlineStr">
        <is>
          <t>Session cookie is revoked. User is logged out and redirected to login page with message: "Session expired due to inactivity".</t>
        </is>
      </c>
      <c r="H70" s="5">
        <f>HYPERLINK("screenshots/TC_LI_029.png", "View Screenshot")</f>
        <v/>
      </c>
    </row>
    <row r="71">
      <c r="A71" s="2" t="inlineStr">
        <is>
          <t>TC_LI_030</t>
        </is>
      </c>
      <c r="B71" s="3" t="inlineStr">
        <is>
          <t>Login</t>
        </is>
      </c>
      <c r="C71" s="4" t="inlineStr">
        <is>
          <t>Session termination validation upon Logout click (Positive Flow)</t>
        </is>
      </c>
      <c r="D71" s="4" t="inlineStr">
        <is>
          <t>User is logged in.</t>
        </is>
      </c>
      <c r="E71" s="4" t="inlineStr">
        <is>
          <t>1. Click the "Logout" button.
2. Try to reload dashboard.</t>
        </is>
      </c>
      <c r="F71" s="4" t="inlineStr">
        <is>
          <t>Action: Click Logout</t>
        </is>
      </c>
      <c r="G71" s="4" t="inlineStr">
        <is>
          <t>Session token is deleted from localStorage/cookies. User is sent to Login page. Reloading dashboard redirects back to login.</t>
        </is>
      </c>
      <c r="H71" s="5">
        <f>HYPERLINK("screenshots/TC_LI_030.png", "View Screenshot")</f>
        <v/>
      </c>
    </row>
    <row r="72">
      <c r="A72" s="2" t="inlineStr">
        <is>
          <t>TC_LI_031</t>
        </is>
      </c>
      <c r="B72" s="3" t="inlineStr">
        <is>
          <t>Login</t>
        </is>
      </c>
      <c r="C72" s="4" t="inlineStr">
        <is>
          <t>Concurrent sessions verification from different browsers (Security Test)</t>
        </is>
      </c>
      <c r="D72" s="4" t="inlineStr">
        <is>
          <t>User is logged in on Browser A (Chrome).</t>
        </is>
      </c>
      <c r="E72" s="4" t="inlineStr">
        <is>
          <t>1. Open Browser B (Firefox).
2. Login with the exact same credentials.</t>
        </is>
      </c>
      <c r="F72" s="4" t="inlineStr">
        <is>
          <t>Login on Chrome &amp; Firefox</t>
        </is>
      </c>
      <c r="G72" s="4" t="inlineStr">
        <is>
          <t>Depending on security policy: either both log in successfully (concurrent active), or Browser A is forced logged out (session invalidated).</t>
        </is>
      </c>
      <c r="H72" s="5">
        <f>HYPERLINK("screenshots/TC_LI_031.png", "View Screenshot")</f>
        <v/>
      </c>
    </row>
    <row r="73">
      <c r="A73" s="2" t="inlineStr">
        <is>
          <t>TC_LI_032</t>
        </is>
      </c>
      <c r="B73" s="3" t="inlineStr">
        <is>
          <t>Login</t>
        </is>
      </c>
      <c r="C73" s="4" t="inlineStr">
        <is>
          <t>Forgot Password navigation link redirect validation (UI Navigation)</t>
        </is>
      </c>
      <c r="D73" s="4" t="inlineStr">
        <is>
          <t>User is on the Login page.</t>
        </is>
      </c>
      <c r="E73" s="4" t="inlineStr">
        <is>
          <t>1. Click the "Forgot Password?" link.</t>
        </is>
      </c>
      <c r="F73" s="4" t="inlineStr">
        <is>
          <t>Click Link</t>
        </is>
      </c>
      <c r="G73" s="4" t="inlineStr">
        <is>
          <t>User is successfully routed to the password recovery page. URL changes to `/forgot-password`.</t>
        </is>
      </c>
      <c r="H73" s="5">
        <f>HYPERLINK("screenshots/TC_LI_032.png", "View Screenshot")</f>
        <v/>
      </c>
    </row>
    <row r="74">
      <c r="A74" s="2" t="inlineStr">
        <is>
          <t>TC_LI_033</t>
        </is>
      </c>
      <c r="B74" s="3" t="inlineStr">
        <is>
          <t>Login</t>
        </is>
      </c>
      <c r="C74" s="4" t="inlineStr">
        <is>
          <t>Sign Up navigation link redirect validation (UI Navigation)</t>
        </is>
      </c>
      <c r="D74" s="4" t="inlineStr">
        <is>
          <t>User is on the Login page.</t>
        </is>
      </c>
      <c r="E74" s="4" t="inlineStr">
        <is>
          <t>1. Click the "Sign Up" navigation link.</t>
        </is>
      </c>
      <c r="F74" s="4" t="inlineStr">
        <is>
          <t>Click Link</t>
        </is>
      </c>
      <c r="G74" s="4" t="inlineStr">
        <is>
          <t>User is successfully routed to the Sign Up registration page. URL changes to `/signup`.</t>
        </is>
      </c>
      <c r="H74" s="5">
        <f>HYPERLINK("screenshots/TC_LI_033.png", "View Screenshot")</f>
        <v/>
      </c>
    </row>
    <row r="75">
      <c r="A75" s="2" t="inlineStr">
        <is>
          <t>TC_LI_034</t>
        </is>
      </c>
      <c r="B75" s="3" t="inlineStr">
        <is>
          <t>Login</t>
        </is>
      </c>
      <c r="C75" s="4" t="inlineStr">
        <is>
          <t>Login form refresh page behavior (UI/UX)</t>
        </is>
      </c>
      <c r="D75" s="4" t="inlineStr">
        <is>
          <t>User is on the Login page. Email is partially typed.</t>
        </is>
      </c>
      <c r="E75" s="4" t="inlineStr">
        <is>
          <t>1. Refresh browser page (F5 or refresh button).</t>
        </is>
      </c>
      <c r="F75" s="4" t="inlineStr">
        <is>
          <t>Action: Refresh page</t>
        </is>
      </c>
      <c r="G75" s="4" t="inlineStr">
        <is>
          <t>The input fields are cleared, and the form states are reset to default empty values to protect data.</t>
        </is>
      </c>
      <c r="H75" s="5">
        <f>HYPERLINK("screenshots/TC_LI_034.png", "View Screenshot")</f>
        <v/>
      </c>
    </row>
    <row r="76">
      <c r="A76" s="2" t="inlineStr">
        <is>
          <t>TC_LI_035</t>
        </is>
      </c>
      <c r="B76" s="3" t="inlineStr">
        <is>
          <t>Login</t>
        </is>
      </c>
      <c r="C76" s="4" t="inlineStr">
        <is>
          <t>Saved credentials autofill activation validation (UI/UX)</t>
        </is>
      </c>
      <c r="D76" s="4" t="inlineStr">
        <is>
          <t>User has saved login details in the browser.</t>
        </is>
      </c>
      <c r="E76" s="4" t="inlineStr">
        <is>
          <t>1. Navigate to the Login page.</t>
        </is>
      </c>
      <c r="F76" s="4" t="inlineStr">
        <is>
          <t>Load Login page</t>
        </is>
      </c>
      <c r="G76" s="4" t="inlineStr">
        <is>
          <t>Fields are automatically filled with saved credentials (highlighted in yellow/blue by browser autofill settings).</t>
        </is>
      </c>
      <c r="H76" s="5">
        <f>HYPERLINK("screenshots/TC_LI_035.png", "View Screenshot")</f>
        <v/>
      </c>
    </row>
    <row r="77">
      <c r="A77" s="2" t="inlineStr">
        <is>
          <t>TC_LI_036</t>
        </is>
      </c>
      <c r="B77" s="3" t="inlineStr">
        <is>
          <t>Login</t>
        </is>
      </c>
      <c r="C77" s="4" t="inlineStr">
        <is>
          <t>Enforcement of HTTPS loading protocol (Security Test)</t>
        </is>
      </c>
      <c r="D77" s="4" t="inlineStr">
        <is>
          <t>User attempts to navigate to Login page.</t>
        </is>
      </c>
      <c r="E77" s="4" t="inlineStr">
        <is>
          <t>1. Navigate to http://tichi-app-webapp-stage.web.app/login.</t>
        </is>
      </c>
      <c r="F77" s="4" t="inlineStr">
        <is>
          <t>URL: http://...</t>
        </is>
      </c>
      <c r="G77" s="4" t="inlineStr">
        <is>
          <t>Server redirects the request to https://tichi-app-webapp-stage.web.app/login to secure login traffic.</t>
        </is>
      </c>
      <c r="H77" s="5">
        <f>HYPERLINK("screenshots/TC_LI_036.png", "View Screenshot")</f>
        <v/>
      </c>
    </row>
    <row r="78">
      <c r="A78" s="2" t="inlineStr">
        <is>
          <t>TC_LI_037</t>
        </is>
      </c>
      <c r="B78" s="3" t="inlineStr">
        <is>
          <t>Login</t>
        </is>
      </c>
      <c r="C78" s="4" t="inlineStr">
        <is>
          <t>Login page responsiveness layout compatibility (UI Compatibility)</t>
        </is>
      </c>
      <c r="D78" s="4" t="inlineStr">
        <is>
          <t>User opens the Login page.</t>
        </is>
      </c>
      <c r="E78" s="4" t="inlineStr">
        <is>
          <t>1. Resize browser window to mobile screen dimensions (375x812).
2. Verify layouts.</t>
        </is>
      </c>
      <c r="F78" s="4" t="inlineStr">
        <is>
          <t>Resolution: 375x812</t>
        </is>
      </c>
      <c r="G78" s="4" t="inlineStr">
        <is>
          <t>Layout scales smoothly, inputs and buttons stack in card view, text is readable, and keyboard overlay does not block fields.</t>
        </is>
      </c>
      <c r="H78" s="5">
        <f>HYPERLINK("screenshots/TC_LI_037.png", "View Screenshot")</f>
        <v/>
      </c>
    </row>
    <row r="79">
      <c r="A79" s="2" t="inlineStr">
        <is>
          <t>TC_LI_038</t>
        </is>
      </c>
      <c r="B79" s="3" t="inlineStr">
        <is>
          <t>Login</t>
        </is>
      </c>
      <c r="C79" s="4" t="inlineStr">
        <is>
          <t>Multi-tab login session synchronization validation (UI Flow)</t>
        </is>
      </c>
      <c r="D79" s="4" t="inlineStr">
        <is>
          <t>User has two browser tabs open to the Login page.</t>
        </is>
      </c>
      <c r="E79" s="4" t="inlineStr">
        <is>
          <t>1. Log in successfully in Tab 1.
2. Go to Tab 2 and refresh or click any link.</t>
        </is>
      </c>
      <c r="F79" s="4" t="inlineStr">
        <is>
          <t>Login in Tab 1, check Tab 2</t>
        </is>
      </c>
      <c r="G79" s="4" t="inlineStr">
        <is>
          <t>Tab 2 detects the active cookie session and automatically transitions to the Dashboard page without login prompt.</t>
        </is>
      </c>
      <c r="H79" s="5">
        <f>HYPERLINK("screenshots/TC_LI_038.png", "View Screenshot")</f>
        <v/>
      </c>
    </row>
    <row r="80">
      <c r="A80" s="2" t="inlineStr">
        <is>
          <t>TC_LI_039</t>
        </is>
      </c>
      <c r="B80" s="3" t="inlineStr">
        <is>
          <t>Login</t>
        </is>
      </c>
      <c r="C80" s="4" t="inlineStr">
        <is>
          <t>CSS overlay validation of validation errors (UI Check)</t>
        </is>
      </c>
      <c r="D80" s="4" t="inlineStr">
        <is>
          <t>User triggers validation errors.</t>
        </is>
      </c>
      <c r="E80" s="4" t="inlineStr">
        <is>
          <t>1. Click Login with empty fields.
2. Observe alignment.</t>
        </is>
      </c>
      <c r="F80" s="4" t="inlineStr">
        <is>
          <t>Observe error elements</t>
        </is>
      </c>
      <c r="G80" s="4" t="inlineStr">
        <is>
          <t>Validation error messages align cleanly below their fields, are styled in high-contrast red, and do not overlap buttons.</t>
        </is>
      </c>
      <c r="H80" s="5">
        <f>HYPERLINK("screenshots/TC_LI_039.png", "View Screenshot")</f>
        <v/>
      </c>
    </row>
    <row r="81">
      <c r="A81" s="2" t="inlineStr">
        <is>
          <t>TC_LI_040</t>
        </is>
      </c>
      <c r="B81" s="3" t="inlineStr">
        <is>
          <t>Login</t>
        </is>
      </c>
      <c r="C81" s="4" t="inlineStr">
        <is>
          <t>Login attempt during server maintenance window (Edge Case)</t>
        </is>
      </c>
      <c r="D81" s="4" t="inlineStr">
        <is>
          <t>System is in maintenance/offline mode.</t>
        </is>
      </c>
      <c r="E81" s="4" t="inlineStr">
        <is>
          <t>1. Enter correct credentials.
2. Click "Login".</t>
        </is>
      </c>
      <c r="F81" s="4" t="inlineStr">
        <is>
          <t>Offline auth attempt</t>
        </is>
      </c>
      <c r="G81" s="4" t="inlineStr">
        <is>
          <t>Login is blocked gracefully. System displays: "Server is undergoing maintenance. Please try again later" (503 Service Unavailable).</t>
        </is>
      </c>
      <c r="H81" s="5">
        <f>HYPERLINK("screenshots/TC_LI_040.png", "View Screenshot")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2026-07-03T06:12:58Z</dcterms:created>
  <dcterms:modified xmlns:dcterms="http://purl.org/dc/terms/" xmlns:xsi="http://www.w3.org/2001/XMLSchema-instance" xsi:type="dcterms:W3CDTF">2026-07-03T06:12:58Z</dcterms:modified>
</cp:coreProperties>
</file>