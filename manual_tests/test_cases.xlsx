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  <font>
      <name val="Calibri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35" customWidth="1" min="3" max="3"/>
    <col width="25" customWidth="1" min="4" max="4"/>
    <col width="45" customWidth="1" min="5" max="5"/>
    <col width="25" customWidth="1" min="6" max="6"/>
    <col width="45" customWidth="1" min="7" max="7"/>
    <col width="20" customWidth="1" min="8" max="8"/>
  </cols>
  <sheetData>
    <row r="1">
      <c r="A1" s="1" t="inlineStr">
        <is>
          <t>Test Case ID</t>
        </is>
      </c>
      <c r="B1" s="1" t="inlineStr">
        <is>
          <t>Module</t>
        </is>
      </c>
      <c r="C1" s="1" t="inlineStr">
        <is>
          <t>Test Description</t>
        </is>
      </c>
      <c r="D1" s="1" t="inlineStr">
        <is>
          <t>Pre-conditions</t>
        </is>
      </c>
      <c r="E1" s="1" t="inlineStr">
        <is>
          <t>Test Steps</t>
        </is>
      </c>
      <c r="F1" s="1" t="inlineStr">
        <is>
          <t>Test Data</t>
        </is>
      </c>
      <c r="G1" s="1" t="inlineStr">
        <is>
          <t>Expected Result</t>
        </is>
      </c>
      <c r="H1" s="1" t="inlineStr">
        <is>
          <t>Screenshot</t>
        </is>
      </c>
    </row>
    <row r="2">
      <c r="A2" s="2" t="inlineStr">
        <is>
          <t>TC_SU_001</t>
        </is>
      </c>
      <c r="B2" s="3" t="inlineStr">
        <is>
          <t>Sign Up</t>
        </is>
      </c>
      <c r="C2" s="4" t="inlineStr">
        <is>
          <t>Successful registration with valid details (Positive Flow)</t>
        </is>
      </c>
      <c r="D2" s="4" t="inlineStr">
        <is>
          <t>1. User is on the Sign Up page.
2. User has no active session.</t>
        </is>
      </c>
      <c r="E2" s="4" t="inlineStr">
        <is>
          <t>1. Enter a valid full name.
2. Enter a unique, unregistered email.
3. Enter a strong password.
4. Re-enter the same password in the Confirm Password field.
5. Click the "Sign Up" button.</t>
        </is>
      </c>
      <c r="F2" s="4" t="inlineStr">
        <is>
          <t>Name: John Doe
Email: john.doe@example.com
Password: P@ssword123!
Confirm Password: P@ssword123!</t>
        </is>
      </c>
      <c r="G2" s="4" t="inlineStr">
        <is>
          <t>User account is created successfully. User is automatically logged in and redirected to the Dashboard/Home page. A success toast or message is displayed.</t>
        </is>
      </c>
      <c r="H2" s="5">
        <f>HYPERLINK("screenshots/TC_SU_001.png", "View Screenshot")</f>
        <v/>
      </c>
    </row>
    <row r="3">
      <c r="A3" s="2" t="inlineStr">
        <is>
          <t>TC_SU_002</t>
        </is>
      </c>
      <c r="B3" s="3" t="inlineStr">
        <is>
          <t>Sign Up</t>
        </is>
      </c>
      <c r="C3" s="4" t="inlineStr">
        <is>
          <t>Registration with all fields empty (Negative Flow)</t>
        </is>
      </c>
      <c r="D3" s="4" t="inlineStr">
        <is>
          <t>1. User is on the Sign Up page.</t>
        </is>
      </c>
      <c r="E3" s="4" t="inlineStr">
        <is>
          <t>1. Leave all fields (Name, Email, Password, Confirm Password) blank.
2. Click the "Sign Up" button.</t>
        </is>
      </c>
      <c r="F3" s="4" t="inlineStr">
        <is>
          <t>None</t>
        </is>
      </c>
      <c r="G3" s="4" t="inlineStr">
        <is>
          <t>Registration is blocked. Under each required field, the system displays a clear validation error (e.g., "Name is required", "Email is required", etc.).</t>
        </is>
      </c>
      <c r="H3" s="5">
        <f>HYPERLINK("screenshots/TC_SU_002.png", "View Screenshot")</f>
        <v/>
      </c>
    </row>
    <row r="4">
      <c r="A4" s="2" t="inlineStr">
        <is>
          <t>TC_SU_003</t>
        </is>
      </c>
      <c r="B4" s="3" t="inlineStr">
        <is>
          <t>Sign Up</t>
        </is>
      </c>
      <c r="C4" s="4" t="inlineStr">
        <is>
          <t>Registration with invalid email formats (Negative Flow)</t>
        </is>
      </c>
      <c r="D4" s="4" t="inlineStr">
        <is>
          <t>1. User is on the Sign Up page.</t>
        </is>
      </c>
      <c r="E4" s="4" t="inlineStr">
        <is>
          <t>1. Enter a valid name.
2. Enter an invalid email format.
3. Enter a valid password and matching confirm password.
4. Click the "Sign Up" button.</t>
        </is>
      </c>
      <c r="F4" s="4" t="inlineStr">
        <is>
          <t>Name: Jane Doe
Email: testuser, testuser@, @example.com, test@example
Password: P@ssword123!
Confirm Password: P@ssword123!</t>
        </is>
      </c>
      <c r="G4" s="4" t="inlineStr">
        <is>
          <t>Registration is blocked. The email field highlights in red and displays a validation error: "Please enter a valid email address".</t>
        </is>
      </c>
      <c r="H4" s="5">
        <f>HYPERLINK("screenshots/TC_SU_003.png", "View Screenshot")</f>
        <v/>
      </c>
    </row>
    <row r="5">
      <c r="A5" s="2" t="inlineStr">
        <is>
          <t>TC_SU_004</t>
        </is>
      </c>
      <c r="B5" s="3" t="inlineStr">
        <is>
          <t>Sign Up</t>
        </is>
      </c>
      <c r="C5" s="4" t="inlineStr">
        <is>
          <t>Registration with mismatched passwords (Negative Flow)</t>
        </is>
      </c>
      <c r="D5" s="4" t="inlineStr">
        <is>
          <t>1. User is on the Sign Up page.</t>
        </is>
      </c>
      <c r="E5" s="4" t="inlineStr">
        <is>
          <t>1. Enter a valid name and email.
2. Enter password in the Password field.
3. Enter a different password in the Confirm Password field.
4. Click the "Sign Up" button.</t>
        </is>
      </c>
      <c r="F5" s="4" t="inlineStr">
        <is>
          <t>Name: John Smith
Email: john.smith@example.com
Password: Password@123
Confirm Password: Password@321</t>
        </is>
      </c>
      <c r="G5" s="4" t="inlineStr">
        <is>
          <t>Registration is blocked. The Confirm Password field displays a validation error: "Passwords do not match".</t>
        </is>
      </c>
      <c r="H5" s="5">
        <f>HYPERLINK("screenshots/TC_SU_004.png", "View Screenshot")</f>
        <v/>
      </c>
    </row>
    <row r="6">
      <c r="A6" s="2" t="inlineStr">
        <is>
          <t>TC_SU_005</t>
        </is>
      </c>
      <c r="B6" s="3" t="inlineStr">
        <is>
          <t>Sign Up</t>
        </is>
      </c>
      <c r="C6" s="4" t="inlineStr">
        <is>
          <t>Registration with weak password (Negative Flow)</t>
        </is>
      </c>
      <c r="D6" s="4" t="inlineStr">
        <is>
          <t>1. User is on the Sign Up page.</t>
        </is>
      </c>
      <c r="E6" s="4" t="inlineStr">
        <is>
          <t>1. Enter a valid name and email.
2. Enter a password that does not meet the minimum complexity requirements.
3. Enter matching password in Confirm Password.
4. Click the "Sign Up" button.</t>
        </is>
      </c>
      <c r="F6" s="4" t="inlineStr">
        <is>
          <t>Name: Weak Pass User
Email: weakpass@example.com
Password: 123456
Confirm Password: 123456</t>
        </is>
      </c>
      <c r="G6" s="4" t="inlineStr">
        <is>
          <t>Registration is blocked. Password field displays a validation error detailing password requirements (e.g., "Password must be at least 8 characters, contain at least 1 uppercase letter, 1 number, and 1 special character").</t>
        </is>
      </c>
      <c r="H6" s="5">
        <f>HYPERLINK("screenshots/TC_SU_005.png", "View Screenshot")</f>
        <v/>
      </c>
    </row>
    <row r="7">
      <c r="A7" s="2" t="inlineStr">
        <is>
          <t>TC_SU_006</t>
        </is>
      </c>
      <c r="B7" s="3" t="inlineStr">
        <is>
          <t>Sign Up</t>
        </is>
      </c>
      <c r="C7" s="4" t="inlineStr">
        <is>
          <t>Input fields with leading and trailing spaces (Boundary/Edge Case)</t>
        </is>
      </c>
      <c r="D7" s="4" t="inlineStr">
        <is>
          <t>1. User is on the Sign Up page.</t>
        </is>
      </c>
      <c r="E7" s="4" t="inlineStr">
        <is>
          <t>1. Enter full name with leading and trailing spaces.
2. Enter email with leading and trailing spaces.
3. Enter valid password and matching confirm password.
4. Click the "Sign Up" button.</t>
        </is>
      </c>
      <c r="F7" s="4" t="inlineStr">
        <is>
          <t>Name: "   Bob Vance   "
Email: "   bob.vance@example.com   "
Password: P@ssword123!
Confirm Password: P@ssword123!</t>
        </is>
      </c>
      <c r="G7" s="4" t="inlineStr">
        <is>
          <t>Registration succeeds. The system automatically trims the leading/trailing spaces. The account is stored under "bob.vance@example.com" and the profile name displays "Bob Vance".</t>
        </is>
      </c>
      <c r="H7" s="5">
        <f>HYPERLINK("screenshots/TC_SU_006.png", "View Screenshot")</f>
        <v/>
      </c>
    </row>
    <row r="8">
      <c r="A8" s="2" t="inlineStr">
        <is>
          <t>TC_SU_007</t>
        </is>
      </c>
      <c r="B8" s="3" t="inlineStr">
        <is>
          <t>Sign Up</t>
        </is>
      </c>
      <c r="C8" s="4" t="inlineStr">
        <is>
          <t>Full Name containing special characters (Boundary/Edge Case)</t>
        </is>
      </c>
      <c r="D8" s="4" t="inlineStr">
        <is>
          <t>1. User is on the Sign Up page.</t>
        </is>
      </c>
      <c r="E8" s="4" t="inlineStr">
        <is>
          <t>1. Enter a name containing common special characters (apostrophes, hyphens, accents).
2. Enter valid email and passwords.
3. Click the "Sign Up" button.</t>
        </is>
      </c>
      <c r="F8" s="4" t="inlineStr">
        <is>
          <t>Name: François O'Connor-Smith Jr.
Email: oconnor@example.com
Password: P@ssword123!
Confirm Password: P@ssword123!</t>
        </is>
      </c>
      <c r="G8" s="4" t="inlineStr">
        <is>
          <t>Registration succeeds. The system accepts valid special characters in the name field.</t>
        </is>
      </c>
      <c r="H8" s="5">
        <f>HYPERLINK("screenshots/TC_SU_007.png", "View Screenshot")</f>
        <v/>
      </c>
    </row>
    <row r="9">
      <c r="A9" s="2" t="inlineStr">
        <is>
          <t>TC_SU_008</t>
        </is>
      </c>
      <c r="B9" s="3" t="inlineStr">
        <is>
          <t>Sign Up</t>
        </is>
      </c>
      <c r="C9" s="4" t="inlineStr">
        <is>
          <t>Registration with already registered email (Negative Flow)</t>
        </is>
      </c>
      <c r="D9" s="4" t="inlineStr">
        <is>
          <t>1. User is on the Sign Up page.
2. An account already exists for the email used.</t>
        </is>
      </c>
      <c r="E9" s="4" t="inlineStr">
        <is>
          <t>1. Enter a valid name.
2. Enter an already registered email.
3. Enter valid password and matching confirm password.
4. Click the "Sign Up" button.</t>
        </is>
      </c>
      <c r="F9" s="4" t="inlineStr">
        <is>
          <t>Name: Alice Green
Email: registered_user@example.com
Password: P@ssword123!
Confirm Password: P@ssword123!</t>
        </is>
      </c>
      <c r="G9" s="4" t="inlineStr">
        <is>
          <t>Registration is blocked. The page displays a user-friendly error message: "Email is already registered. Please login or reset your password".</t>
        </is>
      </c>
      <c r="H9" s="5">
        <f>HYPERLINK("screenshots/TC_SU_008.png", "View Screenshot")</f>
        <v/>
      </c>
    </row>
    <row r="10">
      <c r="A10" s="2" t="inlineStr">
        <is>
          <t>TC_SU_009</t>
        </is>
      </c>
      <c r="B10" s="3" t="inlineStr">
        <is>
          <t>Sign Up</t>
        </is>
      </c>
      <c r="C10" s="4" t="inlineStr">
        <is>
          <t>Maximum character length boundaries for input fields (Boundary/Edge Case)</t>
        </is>
      </c>
      <c r="D10" s="4" t="inlineStr">
        <is>
          <t>1. User is on the Sign Up page.</t>
        </is>
      </c>
      <c r="E10" s="4" t="inlineStr">
        <is>
          <t>1. Enter a full name containing exactly 255 characters.
2. Enter an email containing exactly 254 characters.
3. Enter valid passwords and click "Sign Up".</t>
        </is>
      </c>
      <c r="F10" s="4" t="inlineStr">
        <is>
          <t>Name: String of 255 'A's
Email: String of 242 'A's + @example.com
Password: P@ssword123!
Confirm Password: P@ssword123!</t>
        </is>
      </c>
      <c r="G10" s="4" t="inlineStr">
        <is>
          <t>The system handles the maximum length gracefully: either capping input at the UI level via maxlength or displaying a validation error without crashing.</t>
        </is>
      </c>
      <c r="H10" s="5">
        <f>HYPERLINK("screenshots/TC_SU_009.png", "View Screenshot")</f>
        <v/>
      </c>
    </row>
    <row r="11">
      <c r="A11" s="2" t="inlineStr">
        <is>
          <t>TC_LI_001</t>
        </is>
      </c>
      <c r="B11" s="3" t="inlineStr">
        <is>
          <t>Login</t>
        </is>
      </c>
      <c r="C11" s="4" t="inlineStr">
        <is>
          <t>Successful login with valid credentials (Positive Flow)</t>
        </is>
      </c>
      <c r="D11" s="4" t="inlineStr">
        <is>
          <t>1. User is on the Login page.
2. User has a registered account.</t>
        </is>
      </c>
      <c r="E11" s="4" t="inlineStr">
        <is>
          <t>1. Enter registered email address.
2. Enter correct password.
3. Click the "Login" button.</t>
        </is>
      </c>
      <c r="F11" s="4" t="inlineStr">
        <is>
          <t>Email: registered_user@example.com
Password: P@ssword123!</t>
        </is>
      </c>
      <c r="G11" s="4" t="inlineStr">
        <is>
          <t>Login succeeds. User session is initialized, and user is redirected to the Dashboard/Home page.</t>
        </is>
      </c>
      <c r="H11" s="5">
        <f>HYPERLINK("screenshots/TC_LI_001.png", "View Screenshot")</f>
        <v/>
      </c>
    </row>
    <row r="12">
      <c r="A12" s="2" t="inlineStr">
        <is>
          <t>TC_LI_002</t>
        </is>
      </c>
      <c r="B12" s="3" t="inlineStr">
        <is>
          <t>Login</t>
        </is>
      </c>
      <c r="C12" s="4" t="inlineStr">
        <is>
          <t>Login with all fields empty (Negative Flow)</t>
        </is>
      </c>
      <c r="D12" s="4" t="inlineStr">
        <is>
          <t>1. User is on the Login page.</t>
        </is>
      </c>
      <c r="E12" s="4" t="inlineStr">
        <is>
          <t>1. Leave both Email and Password fields empty.
2. Click the "Login" button.</t>
        </is>
      </c>
      <c r="F12" s="4" t="inlineStr">
        <is>
          <t>None</t>
        </is>
      </c>
      <c r="G12" s="4" t="inlineStr">
        <is>
          <t>Login is blocked. Under each field, the system displays validation error messages (e.g., "Email is required", "Password is required").</t>
        </is>
      </c>
      <c r="H12" s="5">
        <f>HYPERLINK("screenshots/TC_LI_002.png", "View Screenshot")</f>
        <v/>
      </c>
    </row>
    <row r="13">
      <c r="A13" s="2" t="inlineStr">
        <is>
          <t>TC_LI_003</t>
        </is>
      </c>
      <c r="B13" s="3" t="inlineStr">
        <is>
          <t>Login</t>
        </is>
      </c>
      <c r="C13" s="4" t="inlineStr">
        <is>
          <t>Login with invalid email formats (Negative Flow)</t>
        </is>
      </c>
      <c r="D13" s="4" t="inlineStr">
        <is>
          <t>1. User is on the Login page.</t>
        </is>
      </c>
      <c r="E13" s="4" t="inlineStr">
        <is>
          <t>1. Enter an invalid email format.
2. Enter a password.
3. Click the "Login" button.</t>
        </is>
      </c>
      <c r="F13" s="4" t="inlineStr">
        <is>
          <t>Email: testuser, testuser@, testuser@example, testuser.com
Password: P@ssword123!</t>
        </is>
      </c>
      <c r="G13" s="4" t="inlineStr">
        <is>
          <t>Login is blocked. The email field displays a validation error: "Please enter a valid email address".</t>
        </is>
      </c>
      <c r="H13" s="5">
        <f>HYPERLINK("screenshots/TC_LI_003.png", "View Screenshot")</f>
        <v/>
      </c>
    </row>
    <row r="14">
      <c r="A14" s="2" t="inlineStr">
        <is>
          <t>TC_LI_004</t>
        </is>
      </c>
      <c r="B14" s="3" t="inlineStr">
        <is>
          <t>Login</t>
        </is>
      </c>
      <c r="C14" s="4" t="inlineStr">
        <is>
          <t>Login with wrong password (Negative Flow)</t>
        </is>
      </c>
      <c r="D14" s="4" t="inlineStr">
        <is>
          <t>1. User is on the Login page.
2. User has a registered account.</t>
        </is>
      </c>
      <c r="E14" s="4" t="inlineStr">
        <is>
          <t>1. Enter registered email address.
2. Enter an incorrect password.
3. Click the "Login" button.</t>
        </is>
      </c>
      <c r="F14" s="4" t="inlineStr">
        <is>
          <t>Email: registered_user@example.com
Password: WrongPassword123!</t>
        </is>
      </c>
      <c r="G14" s="4" t="inlineStr">
        <is>
          <t>Login is blocked. System displays a general error: "Invalid email or password". (Does not specify which credential is wrong for security reasons).</t>
        </is>
      </c>
      <c r="H14" s="5">
        <f>HYPERLINK("screenshots/TC_LI_004.png", "View Screenshot")</f>
        <v/>
      </c>
    </row>
    <row r="15">
      <c r="A15" s="2" t="inlineStr">
        <is>
          <t>TC_LI_005</t>
        </is>
      </c>
      <c r="B15" s="3" t="inlineStr">
        <is>
          <t>Login</t>
        </is>
      </c>
      <c r="C15" s="4" t="inlineStr">
        <is>
          <t>Login with leading and trailing spaces in email (Boundary/Edge Case)</t>
        </is>
      </c>
      <c r="D15" s="4" t="inlineStr">
        <is>
          <t>1. User is on the Login page.</t>
        </is>
      </c>
      <c r="E15" s="4" t="inlineStr">
        <is>
          <t>1. Enter registered email with leading/trailing spaces.
2. Enter correct password.
3. Click the "Login" button.</t>
        </is>
      </c>
      <c r="F15" s="4" t="inlineStr">
        <is>
          <t>Email: "   registered_user@example.com   "
Password: P@ssword123!</t>
        </is>
      </c>
      <c r="G15" s="4" t="inlineStr">
        <is>
          <t>Login succeeds. The system trims the whitespace automatically and authenticates the user successfully.</t>
        </is>
      </c>
      <c r="H15" s="5">
        <f>HYPERLINK("screenshots/TC_LI_005.png", "View Screenshot")</f>
        <v/>
      </c>
    </row>
    <row r="16">
      <c r="A16" s="2" t="inlineStr">
        <is>
          <t>TC_LI_006</t>
        </is>
      </c>
      <c r="B16" s="3" t="inlineStr">
        <is>
          <t>Login</t>
        </is>
      </c>
      <c r="C16" s="4" t="inlineStr">
        <is>
          <t>Account lockout after consecutive failed login attempts (Negative Flow/Security)</t>
        </is>
      </c>
      <c r="D16" s="4" t="inlineStr">
        <is>
          <t>1. User is on the Login page.
2. User has a registered account.</t>
        </is>
      </c>
      <c r="E16" s="4" t="inlineStr">
        <is>
          <t>1. Enter registered email.
2. Enter incorrect password 5 consecutive times.
3. Attempt 6th login with the correct password.</t>
        </is>
      </c>
      <c r="F16" s="4" t="inlineStr">
        <is>
          <t>Email: registered_user@example.com
Password: WrongPassword123! (first 5 times), P@ssword123! (6th time)</t>
        </is>
      </c>
      <c r="G16" s="4" t="inlineStr">
        <is>
          <t>After 5 failed attempts, the account is temporarily locked. The 6th attempt with correct password displays "Account temporarily locked. Please try again after 15 minutes or reset your password".</t>
        </is>
      </c>
      <c r="H16" s="5">
        <f>HYPERLINK("screenshots/TC_LI_006.png", "View Screenshot")</f>
        <v/>
      </c>
    </row>
    <row r="17">
      <c r="A17" s="2" t="inlineStr">
        <is>
          <t>TC_LI_007</t>
        </is>
      </c>
      <c r="B17" s="3" t="inlineStr">
        <is>
          <t>Login</t>
        </is>
      </c>
      <c r="C17" s="4" t="inlineStr">
        <is>
          <t>Session persistence using 'Remember Me' (Positive Flow)</t>
        </is>
      </c>
      <c r="D17" s="4" t="inlineStr">
        <is>
          <t>1. User is on the Login page.</t>
        </is>
      </c>
      <c r="E17" s="4" t="inlineStr">
        <is>
          <t>1. Enter valid credentials.
2. Check the "Remember Me" checkbox.
3. Click the "Login" button.
4. Verify successful redirection.
5. Close the browser window.
6. Re-open browser and navigate to the application URL.</t>
        </is>
      </c>
      <c r="F17" s="4" t="inlineStr">
        <is>
          <t>Email: registered_user@example.com
Password: P@ssword123!
Remember Me: Checked</t>
        </is>
      </c>
      <c r="G17" s="4" t="inlineStr">
        <is>
          <t>The application bypasses the Login page and automatically routes the user directly to the Dashboard page, confirming session persistence.</t>
        </is>
      </c>
      <c r="H17" s="5">
        <f>HYPERLINK("screenshots/TC_LI_007.png", "View Screenshot")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2026-07-03T03:48:03Z</dcterms:created>
  <dcterms:modified xmlns:dcterms="http://purl.org/dc/terms/" xmlns:xsi="http://www.w3.org/2001/XMLSchema-instance" xsi:type="dcterms:W3CDTF">2026-07-03T03:48:03Z</dcterms:modified>
</cp:coreProperties>
</file>